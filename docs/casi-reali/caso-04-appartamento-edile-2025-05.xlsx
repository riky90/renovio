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mc:AlternateContent>
  <bookViews>
    <workbookView xWindow="0" yWindow="0" windowWidth="32914" windowHeight="14683" tabRatio="867" activeTab="1"/>
  </bookViews>
  <sheets>
    <sheet name="Analisi preliminareTOTALI" sheetId="1" r:id="rId1"/>
    <sheet name="A-EDILE" sheetId="3" r:id="rId2"/>
    <sheet name="B-FINITURE" sheetId="4" r:id="rId3"/>
    <sheet name="C- SERRAMENTI PORTE  " sheetId="5" r:id="rId4"/>
    <sheet name="D- PRODOTTI" sheetId="9" r:id="rId5"/>
    <sheet name="listini" sheetId="12" state="hidden" r:id="rId6"/>
    <sheet name="Importi" sheetId="6" state="hidden" r:id="rId7"/>
    <sheet name="scheda cantiere_EDILE" sheetId="7" state="hidden" r:id="rId8"/>
    <sheet name="scheda cantiere_FINITURE" sheetId="8" state="hidden" r:id="rId9"/>
  </sheets>
  <definedNames>
    <definedName name="_xlnm._FilterDatabase" localSheetId="1" hidden="1">'A-EDILE'!$A$1:$A$1003</definedName>
    <definedName name="EDILE_NOMI">#REF!</definedName>
    <definedName name="EDILE_PERC">#REF!</definedName>
    <definedName name="PROG_NOMI">#REF!</definedName>
    <definedName name="PROG_PERC">#REF!</definedName>
    <definedName name="SICUREZZA_NOMI">#REF!</definedName>
    <definedName name="SICUREZZA_PERC">#REF!</definedName>
  </definedNames>
  <calcPr calcId="191028"/>
  <extLst>
    <ext uri="GoogleSheetsCustomDataVersion1">
      <go:sheetsCustomData xmlns:go="http://customooxmlschemas.google.com/" r:id="rId13" roundtripDataSignature="AMtx7mjGTgpylnR825uNTw23l3gMevPqeg=="/>
    </ext>
  </extLst>
</workbook>
</file>

<file path=xl/calcChain.xml><?xml version="1.0" encoding="utf-8"?>
<calcChain xmlns="http://schemas.openxmlformats.org/spreadsheetml/2006/main">
  <c r="E58" i="3" l="1"/>
  <c r="E82" i="4"/>
  <c r="AA198" i="3"/>
  <c r="Y198" i="3"/>
  <c r="AA195" i="3"/>
  <c r="Z195" i="3"/>
  <c r="Z198" i="3" s="1"/>
  <c r="X195" i="3"/>
  <c r="X198" i="3" s="1"/>
  <c r="K30" i="3"/>
  <c r="AB195" i="3" l="1"/>
  <c r="AB198" i="3"/>
  <c r="G174" i="3"/>
  <c r="K150" i="3" l="1"/>
  <c r="L150" i="3" s="1"/>
  <c r="G150" i="3"/>
  <c r="K149" i="3"/>
  <c r="L149" i="3" s="1"/>
  <c r="G149" i="3"/>
  <c r="K163" i="3"/>
  <c r="G163" i="3"/>
  <c r="K162" i="3"/>
  <c r="G162" i="3"/>
  <c r="K75" i="3"/>
  <c r="L75" i="3" s="1"/>
  <c r="O64" i="3"/>
  <c r="K193" i="3"/>
  <c r="L193" i="3" s="1"/>
  <c r="K185" i="3"/>
  <c r="K186" i="3"/>
  <c r="K187" i="3"/>
  <c r="K188" i="3"/>
  <c r="K189" i="3"/>
  <c r="K184" i="3"/>
  <c r="K169" i="3"/>
  <c r="K170" i="3"/>
  <c r="K171" i="3"/>
  <c r="K172" i="3"/>
  <c r="K173" i="3"/>
  <c r="K174" i="3"/>
  <c r="K175" i="3"/>
  <c r="K176" i="3"/>
  <c r="K177" i="3"/>
  <c r="K178" i="3"/>
  <c r="K179" i="3"/>
  <c r="K180" i="3"/>
  <c r="K168" i="3"/>
  <c r="K161" i="3"/>
  <c r="K154" i="3"/>
  <c r="K153" i="3"/>
  <c r="K146" i="3"/>
  <c r="K147" i="3"/>
  <c r="K148" i="3"/>
  <c r="K145" i="3"/>
  <c r="K138" i="3"/>
  <c r="K139" i="3"/>
  <c r="K140" i="3"/>
  <c r="K141" i="3"/>
  <c r="K142" i="3"/>
  <c r="K137" i="3"/>
  <c r="K134" i="3"/>
  <c r="K133" i="3"/>
  <c r="K127" i="3"/>
  <c r="K128" i="3"/>
  <c r="K129" i="3"/>
  <c r="K130" i="3"/>
  <c r="K126" i="3"/>
  <c r="K121" i="3"/>
  <c r="K120" i="3"/>
  <c r="K107" i="3"/>
  <c r="K108" i="3"/>
  <c r="K109" i="3"/>
  <c r="K110" i="3"/>
  <c r="K111" i="3"/>
  <c r="K112" i="3"/>
  <c r="K113" i="3"/>
  <c r="K114" i="3"/>
  <c r="K115" i="3"/>
  <c r="K116" i="3"/>
  <c r="K106" i="3"/>
  <c r="K100" i="3"/>
  <c r="K101" i="3"/>
  <c r="K102" i="3"/>
  <c r="K99" i="3"/>
  <c r="K95" i="3"/>
  <c r="K94" i="3"/>
  <c r="K84" i="3"/>
  <c r="K85" i="3"/>
  <c r="K86" i="3"/>
  <c r="K87" i="3"/>
  <c r="K88" i="3"/>
  <c r="K89" i="3"/>
  <c r="K90" i="3"/>
  <c r="K83" i="3"/>
  <c r="K76" i="3"/>
  <c r="K77" i="3"/>
  <c r="K78" i="3"/>
  <c r="K79" i="3"/>
  <c r="K54" i="3"/>
  <c r="K55" i="3"/>
  <c r="K56" i="3"/>
  <c r="K57" i="3"/>
  <c r="K58" i="3"/>
  <c r="K59" i="3"/>
  <c r="K60" i="3"/>
  <c r="K61" i="3"/>
  <c r="K62" i="3"/>
  <c r="K63" i="3"/>
  <c r="K65" i="3"/>
  <c r="K66" i="3"/>
  <c r="K67" i="3"/>
  <c r="K68" i="3"/>
  <c r="K69" i="3"/>
  <c r="K70" i="3"/>
  <c r="K71" i="3"/>
  <c r="K53" i="3"/>
  <c r="K47" i="3"/>
  <c r="K46" i="3"/>
  <c r="K43" i="3"/>
  <c r="K44" i="3"/>
  <c r="K42" i="3"/>
  <c r="K39" i="3"/>
  <c r="K31" i="3"/>
  <c r="K32" i="3"/>
  <c r="K33" i="3"/>
  <c r="K34" i="3"/>
  <c r="K35" i="3"/>
  <c r="K36" i="3"/>
  <c r="K37" i="3"/>
  <c r="K38" i="3"/>
  <c r="K27" i="3"/>
  <c r="L162" i="3" l="1"/>
  <c r="N149" i="3"/>
  <c r="O149" i="3" s="1"/>
  <c r="P149" i="3" s="1"/>
  <c r="N150" i="3"/>
  <c r="O150" i="3" s="1"/>
  <c r="P150" i="3" s="1"/>
  <c r="L163" i="3"/>
  <c r="N163" i="3"/>
  <c r="N162" i="3"/>
  <c r="K28" i="3"/>
  <c r="L185" i="3"/>
  <c r="L186" i="3"/>
  <c r="L187" i="3"/>
  <c r="L188" i="3"/>
  <c r="L189" i="3"/>
  <c r="L184" i="3"/>
  <c r="L169" i="3"/>
  <c r="L170" i="3"/>
  <c r="L171" i="3"/>
  <c r="L172" i="3"/>
  <c r="L173" i="3"/>
  <c r="L174" i="3"/>
  <c r="L175" i="3"/>
  <c r="L176" i="3"/>
  <c r="L177" i="3"/>
  <c r="L178" i="3"/>
  <c r="L179" i="3"/>
  <c r="L180" i="3"/>
  <c r="L168" i="3"/>
  <c r="L153" i="3"/>
  <c r="L147" i="3"/>
  <c r="L148" i="3"/>
  <c r="L146" i="3"/>
  <c r="L145" i="3"/>
  <c r="L138" i="3"/>
  <c r="L139" i="3"/>
  <c r="L140" i="3"/>
  <c r="L141" i="3"/>
  <c r="L137" i="3"/>
  <c r="L134" i="3"/>
  <c r="L133" i="3"/>
  <c r="L127" i="3"/>
  <c r="L128" i="3"/>
  <c r="L129" i="3"/>
  <c r="L130" i="3"/>
  <c r="L126" i="3"/>
  <c r="L121" i="3"/>
  <c r="L120" i="3"/>
  <c r="L107" i="3"/>
  <c r="L108" i="3"/>
  <c r="L109" i="3"/>
  <c r="L110" i="3"/>
  <c r="L111" i="3"/>
  <c r="L112" i="3"/>
  <c r="L113" i="3"/>
  <c r="L114" i="3"/>
  <c r="L115" i="3"/>
  <c r="L116" i="3"/>
  <c r="L106" i="3"/>
  <c r="L100" i="3"/>
  <c r="L101" i="3"/>
  <c r="L102" i="3"/>
  <c r="L99" i="3"/>
  <c r="L95" i="3"/>
  <c r="L94" i="3"/>
  <c r="L84" i="3"/>
  <c r="L85" i="3"/>
  <c r="L86" i="3"/>
  <c r="L87" i="3"/>
  <c r="L88" i="3"/>
  <c r="L89" i="3"/>
  <c r="L90" i="3"/>
  <c r="L83" i="3"/>
  <c r="L77" i="3"/>
  <c r="L78" i="3"/>
  <c r="L79" i="3"/>
  <c r="L76" i="3"/>
  <c r="L53" i="3"/>
  <c r="L54" i="3"/>
  <c r="L55" i="3"/>
  <c r="L56" i="3"/>
  <c r="L57" i="3"/>
  <c r="L58" i="3"/>
  <c r="L59" i="3"/>
  <c r="L60" i="3"/>
  <c r="L61" i="3"/>
  <c r="L62" i="3"/>
  <c r="L63" i="3"/>
  <c r="L65" i="3"/>
  <c r="L66" i="3"/>
  <c r="L67" i="3"/>
  <c r="L68" i="3"/>
  <c r="L69" i="3"/>
  <c r="L70" i="3"/>
  <c r="L71" i="3"/>
  <c r="O162" i="3" l="1"/>
  <c r="P162" i="3" s="1"/>
  <c r="O163" i="3"/>
  <c r="P163" i="3" s="1"/>
  <c r="L103" i="3"/>
  <c r="L131" i="3"/>
  <c r="L190" i="3"/>
  <c r="L122" i="3"/>
  <c r="L80" i="3"/>
  <c r="L117" i="3"/>
  <c r="L154" i="3"/>
  <c r="L155" i="3" s="1"/>
  <c r="L91" i="3"/>
  <c r="L96" i="3"/>
  <c r="L135" i="3"/>
  <c r="L151" i="3"/>
  <c r="L72" i="3"/>
  <c r="L181" i="3"/>
  <c r="L142" i="3"/>
  <c r="L143" i="3" s="1"/>
  <c r="L156" i="3" l="1"/>
  <c r="L28" i="3"/>
  <c r="L38" i="3"/>
  <c r="L31" i="3" l="1"/>
  <c r="L46" i="3"/>
  <c r="L43" i="3"/>
  <c r="L33" i="3"/>
  <c r="L42" i="3"/>
  <c r="L32" i="3"/>
  <c r="L30" i="3"/>
  <c r="L37" i="3"/>
  <c r="L47" i="3"/>
  <c r="L36" i="3"/>
  <c r="L39" i="3"/>
  <c r="L35" i="3"/>
  <c r="L44" i="3"/>
  <c r="L34" i="3"/>
  <c r="L27" i="3"/>
  <c r="E20" i="4" l="1"/>
  <c r="E21" i="4"/>
  <c r="E22" i="4"/>
  <c r="E23" i="4"/>
  <c r="E24" i="4"/>
  <c r="E26" i="4"/>
  <c r="E27" i="4"/>
  <c r="E28" i="4"/>
  <c r="E29" i="4"/>
  <c r="E30" i="4"/>
  <c r="E32" i="4"/>
  <c r="E33" i="4"/>
  <c r="E34" i="4"/>
  <c r="E35" i="4"/>
  <c r="E36" i="4"/>
  <c r="E38" i="4"/>
  <c r="E66" i="4"/>
  <c r="E67" i="4"/>
  <c r="E68" i="4"/>
  <c r="E69" i="4"/>
  <c r="E70" i="4"/>
  <c r="E71" i="4"/>
  <c r="E72" i="4"/>
  <c r="E73" i="4"/>
  <c r="E74" i="4"/>
  <c r="E75" i="4"/>
  <c r="E76" i="4"/>
  <c r="E77" i="4"/>
  <c r="E78" i="4"/>
  <c r="E64" i="4"/>
  <c r="E59" i="4"/>
  <c r="E62" i="4"/>
  <c r="E61" i="4"/>
  <c r="E60" i="4"/>
  <c r="E51" i="4"/>
  <c r="A13" i="9"/>
  <c r="A12" i="9"/>
  <c r="A11" i="9"/>
  <c r="A10" i="9"/>
  <c r="A9" i="9"/>
  <c r="A8" i="9"/>
  <c r="A8" i="5"/>
  <c r="A9" i="5"/>
  <c r="A10" i="5"/>
  <c r="A11" i="5"/>
  <c r="A12" i="5"/>
  <c r="A13" i="5"/>
  <c r="E24" i="9"/>
  <c r="E25" i="9"/>
  <c r="E26" i="9"/>
  <c r="E27" i="9"/>
  <c r="E21" i="9"/>
  <c r="E22" i="9"/>
  <c r="E23" i="9"/>
  <c r="E20" i="9"/>
  <c r="E19" i="9"/>
  <c r="E18" i="9"/>
  <c r="E3" i="9"/>
  <c r="E27" i="5"/>
  <c r="E28" i="5"/>
  <c r="E29" i="5"/>
  <c r="E30" i="5"/>
  <c r="E31" i="5"/>
  <c r="E32" i="5"/>
  <c r="B46" i="8"/>
  <c r="B45" i="8"/>
  <c r="C45" i="8"/>
  <c r="G45" i="8"/>
  <c r="D44" i="8"/>
  <c r="D48" i="8"/>
  <c r="B44" i="8"/>
  <c r="G44" i="8"/>
  <c r="B22" i="8"/>
  <c r="C44" i="8"/>
  <c r="B10" i="8"/>
  <c r="B9" i="8"/>
  <c r="F74" i="7"/>
  <c r="F72" i="7"/>
  <c r="E72" i="7"/>
  <c r="D72" i="7"/>
  <c r="B72" i="7"/>
  <c r="C72" i="7"/>
  <c r="F71" i="7"/>
  <c r="E71" i="7"/>
  <c r="D71" i="7"/>
  <c r="B71" i="7"/>
  <c r="F70" i="7"/>
  <c r="E70" i="7"/>
  <c r="D70" i="7"/>
  <c r="C70" i="7"/>
  <c r="B70" i="7"/>
  <c r="B57" i="7"/>
  <c r="B56" i="7"/>
  <c r="B55" i="7"/>
  <c r="B45" i="7"/>
  <c r="B44" i="7"/>
  <c r="B43" i="7"/>
  <c r="B33" i="7"/>
  <c r="B32" i="7"/>
  <c r="B31" i="7"/>
  <c r="B23" i="7"/>
  <c r="B21" i="7"/>
  <c r="B11" i="7"/>
  <c r="B10" i="7"/>
  <c r="B9" i="7"/>
  <c r="B8" i="7"/>
  <c r="D5" i="7" a="1"/>
  <c r="D5" i="7" s="1"/>
  <c r="D5" i="8" s="1"/>
  <c r="B5" i="7" a="1"/>
  <c r="B5" i="7" s="1"/>
  <c r="B5" i="8" s="1"/>
  <c r="D4" i="7" a="1"/>
  <c r="E4" i="7" s="1"/>
  <c r="B4" i="7"/>
  <c r="B4" i="8" s="1"/>
  <c r="G3" i="6"/>
  <c r="E26" i="5"/>
  <c r="E25" i="5"/>
  <c r="E24" i="5"/>
  <c r="E23" i="5"/>
  <c r="E22" i="5"/>
  <c r="E21" i="5"/>
  <c r="E20" i="5"/>
  <c r="E19" i="5"/>
  <c r="E18" i="5"/>
  <c r="E3" i="5"/>
  <c r="D80" i="4"/>
  <c r="E80" i="4" s="1"/>
  <c r="D79" i="4"/>
  <c r="E79" i="4" s="1"/>
  <c r="E58" i="4"/>
  <c r="E41" i="4"/>
  <c r="E40" i="4"/>
  <c r="E39" i="4"/>
  <c r="E37" i="4"/>
  <c r="E56" i="4"/>
  <c r="E55" i="4"/>
  <c r="E54" i="4"/>
  <c r="E53" i="4"/>
  <c r="E52" i="4"/>
  <c r="E48" i="4"/>
  <c r="E47" i="4"/>
  <c r="E46" i="4"/>
  <c r="E45" i="4"/>
  <c r="E44" i="4"/>
  <c r="E50" i="4"/>
  <c r="E43" i="4"/>
  <c r="E31" i="4"/>
  <c r="E25" i="4"/>
  <c r="A13" i="4"/>
  <c r="A12" i="4"/>
  <c r="A11" i="4"/>
  <c r="A10" i="4"/>
  <c r="A9" i="4"/>
  <c r="A8" i="4"/>
  <c r="E3" i="4"/>
  <c r="G193" i="3"/>
  <c r="G189" i="3"/>
  <c r="G188" i="3"/>
  <c r="G187" i="3"/>
  <c r="G186" i="3"/>
  <c r="G185" i="3"/>
  <c r="G184" i="3"/>
  <c r="G180" i="3"/>
  <c r="G179" i="3"/>
  <c r="G178" i="3"/>
  <c r="G177" i="3"/>
  <c r="G176" i="3"/>
  <c r="G175" i="3"/>
  <c r="G173" i="3"/>
  <c r="G172" i="3"/>
  <c r="G171" i="3"/>
  <c r="G170" i="3"/>
  <c r="G169" i="3"/>
  <c r="G168" i="3"/>
  <c r="G161" i="3"/>
  <c r="G154" i="3"/>
  <c r="G153" i="3"/>
  <c r="G148" i="3"/>
  <c r="G147" i="3"/>
  <c r="G146" i="3"/>
  <c r="G145" i="3"/>
  <c r="G142" i="3"/>
  <c r="G141" i="3"/>
  <c r="G140" i="3"/>
  <c r="G139" i="3"/>
  <c r="G138" i="3"/>
  <c r="G137" i="3"/>
  <c r="G134" i="3"/>
  <c r="G133" i="3"/>
  <c r="G130" i="3"/>
  <c r="G129" i="3"/>
  <c r="G128" i="3"/>
  <c r="G127" i="3"/>
  <c r="G126" i="3"/>
  <c r="G121" i="3"/>
  <c r="G120" i="3"/>
  <c r="G122" i="3" s="1"/>
  <c r="G116" i="3"/>
  <c r="G115" i="3"/>
  <c r="G114" i="3"/>
  <c r="G113" i="3"/>
  <c r="G112" i="3"/>
  <c r="G111" i="3"/>
  <c r="G110" i="3"/>
  <c r="G109" i="3"/>
  <c r="G108" i="3"/>
  <c r="G107" i="3"/>
  <c r="G106" i="3"/>
  <c r="G102" i="3"/>
  <c r="G101" i="3"/>
  <c r="G100" i="3"/>
  <c r="G99" i="3"/>
  <c r="G95" i="3"/>
  <c r="G94" i="3"/>
  <c r="G90" i="3"/>
  <c r="G89" i="3"/>
  <c r="G88" i="3"/>
  <c r="G87" i="3"/>
  <c r="G86" i="3"/>
  <c r="G85" i="3"/>
  <c r="G84" i="3"/>
  <c r="G83" i="3"/>
  <c r="G79" i="3"/>
  <c r="G78" i="3"/>
  <c r="G77" i="3"/>
  <c r="G76" i="3"/>
  <c r="G75" i="3"/>
  <c r="G71" i="3"/>
  <c r="G70" i="3"/>
  <c r="G69" i="3"/>
  <c r="G68" i="3"/>
  <c r="G67" i="3"/>
  <c r="G66" i="3"/>
  <c r="G65" i="3"/>
  <c r="G63" i="3"/>
  <c r="G62" i="3"/>
  <c r="G61" i="3"/>
  <c r="G60" i="3"/>
  <c r="G59" i="3"/>
  <c r="G58" i="3"/>
  <c r="G57" i="3"/>
  <c r="G56" i="3"/>
  <c r="G55" i="3"/>
  <c r="G54" i="3"/>
  <c r="G53" i="3"/>
  <c r="G47" i="3"/>
  <c r="G46" i="3"/>
  <c r="G44" i="3"/>
  <c r="G43" i="3"/>
  <c r="G42" i="3"/>
  <c r="G39" i="3"/>
  <c r="G38" i="3"/>
  <c r="G37" i="3"/>
  <c r="G36" i="3"/>
  <c r="G35" i="3"/>
  <c r="G34" i="3"/>
  <c r="G33" i="3"/>
  <c r="G32" i="3"/>
  <c r="G31" i="3"/>
  <c r="G30" i="3"/>
  <c r="G28" i="3"/>
  <c r="G27" i="3"/>
  <c r="B13" i="3"/>
  <c r="B12" i="3"/>
  <c r="B11" i="3"/>
  <c r="B10" i="3"/>
  <c r="B9" i="3"/>
  <c r="B8" i="3"/>
  <c r="G2" i="3"/>
  <c r="G70" i="7"/>
  <c r="D74" i="7"/>
  <c r="E74" i="7"/>
  <c r="G11" i="6"/>
  <c r="B24" i="7"/>
  <c r="G46" i="8"/>
  <c r="G48" i="8"/>
  <c r="G41" i="8"/>
  <c r="C46" i="8"/>
  <c r="C48" i="8"/>
  <c r="G72" i="7"/>
  <c r="B48" i="8"/>
  <c r="C71" i="7"/>
  <c r="G71" i="7"/>
  <c r="G74" i="7"/>
  <c r="G67" i="7"/>
  <c r="B74" i="7"/>
  <c r="G9" i="6"/>
  <c r="C74" i="7"/>
  <c r="E33" i="5" l="1"/>
  <c r="E34" i="5" s="1"/>
  <c r="G155" i="3"/>
  <c r="G135" i="3"/>
  <c r="G151" i="3"/>
  <c r="G143" i="3"/>
  <c r="G131" i="3"/>
  <c r="N94" i="3"/>
  <c r="O94" i="3" s="1"/>
  <c r="N47" i="3"/>
  <c r="O47" i="3" s="1"/>
  <c r="P47" i="3" s="1"/>
  <c r="N46" i="3"/>
  <c r="O46" i="3" s="1"/>
  <c r="P46" i="3" s="1"/>
  <c r="N44" i="3"/>
  <c r="O44" i="3" s="1"/>
  <c r="P44" i="3" s="1"/>
  <c r="N43" i="3"/>
  <c r="O43" i="3" s="1"/>
  <c r="P43" i="3" s="1"/>
  <c r="N42" i="3"/>
  <c r="O42" i="3" s="1"/>
  <c r="P42" i="3" s="1"/>
  <c r="N39" i="3"/>
  <c r="O39" i="3" s="1"/>
  <c r="P39" i="3" s="1"/>
  <c r="N37" i="3"/>
  <c r="O37" i="3" s="1"/>
  <c r="P37" i="3" s="1"/>
  <c r="N36" i="3"/>
  <c r="O36" i="3" s="1"/>
  <c r="P36" i="3" s="1"/>
  <c r="N33" i="3"/>
  <c r="O33" i="3" s="1"/>
  <c r="P33" i="3" s="1"/>
  <c r="N35" i="3"/>
  <c r="O35" i="3" s="1"/>
  <c r="P35" i="3" s="1"/>
  <c r="N34" i="3"/>
  <c r="O34" i="3" s="1"/>
  <c r="P34" i="3" s="1"/>
  <c r="N32" i="3"/>
  <c r="O32" i="3" s="1"/>
  <c r="P32" i="3" s="1"/>
  <c r="N31" i="3"/>
  <c r="O31" i="3" s="1"/>
  <c r="P31" i="3" s="1"/>
  <c r="N30" i="3"/>
  <c r="O30" i="3" s="1"/>
  <c r="P30" i="3" s="1"/>
  <c r="E28" i="9"/>
  <c r="E81" i="4"/>
  <c r="N71" i="3"/>
  <c r="O71" i="3" s="1"/>
  <c r="P71" i="3" s="1"/>
  <c r="N75" i="3"/>
  <c r="O75" i="3" s="1"/>
  <c r="N100" i="3"/>
  <c r="O100" i="3" s="1"/>
  <c r="P100" i="3" s="1"/>
  <c r="N76" i="3"/>
  <c r="O76" i="3" s="1"/>
  <c r="P76" i="3" s="1"/>
  <c r="N77" i="3"/>
  <c r="O77" i="3" s="1"/>
  <c r="P77" i="3" s="1"/>
  <c r="N67" i="3"/>
  <c r="O67" i="3" s="1"/>
  <c r="N59" i="3"/>
  <c r="N68" i="3"/>
  <c r="O68" i="3" s="1"/>
  <c r="N79" i="3"/>
  <c r="O79" i="3" s="1"/>
  <c r="P79" i="3" s="1"/>
  <c r="N38" i="3"/>
  <c r="O38" i="3" s="1"/>
  <c r="P38" i="3" s="1"/>
  <c r="N99" i="3"/>
  <c r="N55" i="3"/>
  <c r="O55" i="3" s="1"/>
  <c r="N56" i="3"/>
  <c r="O56" i="3" s="1"/>
  <c r="N57" i="3"/>
  <c r="O57" i="3" s="1"/>
  <c r="N102" i="3"/>
  <c r="O102" i="3" s="1"/>
  <c r="P102" i="3" s="1"/>
  <c r="N58" i="3"/>
  <c r="O58" i="3" s="1"/>
  <c r="N60" i="3"/>
  <c r="O60" i="3" s="1"/>
  <c r="N69" i="3"/>
  <c r="O69" i="3" s="1"/>
  <c r="N54" i="3"/>
  <c r="O54" i="3" s="1"/>
  <c r="N193" i="3"/>
  <c r="O193" i="3" s="1"/>
  <c r="N63" i="3"/>
  <c r="O63" i="3" s="1"/>
  <c r="N65" i="3"/>
  <c r="O65" i="3" s="1"/>
  <c r="N101" i="3"/>
  <c r="O101" i="3" s="1"/>
  <c r="P101" i="3" s="1"/>
  <c r="N66" i="3"/>
  <c r="O66" i="3" s="1"/>
  <c r="N78" i="3"/>
  <c r="O78" i="3" s="1"/>
  <c r="P78" i="3" s="1"/>
  <c r="N61" i="3"/>
  <c r="O61" i="3" s="1"/>
  <c r="N70" i="3"/>
  <c r="O70" i="3" s="1"/>
  <c r="N95" i="3"/>
  <c r="N62" i="3"/>
  <c r="O62" i="3" s="1"/>
  <c r="N189" i="3"/>
  <c r="N188" i="3"/>
  <c r="O188" i="3" s="1"/>
  <c r="P188" i="3" s="1"/>
  <c r="N187" i="3"/>
  <c r="O187" i="3" s="1"/>
  <c r="P187" i="3" s="1"/>
  <c r="N186" i="3"/>
  <c r="O186" i="3" s="1"/>
  <c r="P186" i="3" s="1"/>
  <c r="N185" i="3"/>
  <c r="O185" i="3" s="1"/>
  <c r="P185" i="3" s="1"/>
  <c r="N184" i="3"/>
  <c r="N180" i="3"/>
  <c r="O180" i="3" s="1"/>
  <c r="P180" i="3" s="1"/>
  <c r="N179" i="3"/>
  <c r="O179" i="3" s="1"/>
  <c r="P179" i="3" s="1"/>
  <c r="N178" i="3"/>
  <c r="O178" i="3" s="1"/>
  <c r="P178" i="3" s="1"/>
  <c r="N177" i="3"/>
  <c r="O177" i="3" s="1"/>
  <c r="P177" i="3" s="1"/>
  <c r="N176" i="3"/>
  <c r="O176" i="3" s="1"/>
  <c r="P176" i="3" s="1"/>
  <c r="N175" i="3"/>
  <c r="O175" i="3" s="1"/>
  <c r="P175" i="3" s="1"/>
  <c r="N174" i="3"/>
  <c r="O174" i="3" s="1"/>
  <c r="P174" i="3" s="1"/>
  <c r="N173" i="3"/>
  <c r="O173" i="3" s="1"/>
  <c r="P173" i="3" s="1"/>
  <c r="N172" i="3"/>
  <c r="O172" i="3" s="1"/>
  <c r="P172" i="3" s="1"/>
  <c r="N171" i="3"/>
  <c r="O171" i="3" s="1"/>
  <c r="P171" i="3" s="1"/>
  <c r="N170" i="3"/>
  <c r="O170" i="3" s="1"/>
  <c r="P170" i="3" s="1"/>
  <c r="N169" i="3"/>
  <c r="O169" i="3" s="1"/>
  <c r="P169" i="3" s="1"/>
  <c r="N168" i="3"/>
  <c r="O168" i="3" s="1"/>
  <c r="P168" i="3" s="1"/>
  <c r="L161" i="3"/>
  <c r="N161" i="3"/>
  <c r="N154" i="3"/>
  <c r="O154" i="3" s="1"/>
  <c r="P154" i="3" s="1"/>
  <c r="N153" i="3"/>
  <c r="N148" i="3"/>
  <c r="O148" i="3" s="1"/>
  <c r="P148" i="3" s="1"/>
  <c r="N147" i="3"/>
  <c r="O147" i="3" s="1"/>
  <c r="P147" i="3" s="1"/>
  <c r="N146" i="3"/>
  <c r="O146" i="3" s="1"/>
  <c r="P146" i="3" s="1"/>
  <c r="N145" i="3"/>
  <c r="O145" i="3" s="1"/>
  <c r="N142" i="3"/>
  <c r="O142" i="3" s="1"/>
  <c r="P142" i="3" s="1"/>
  <c r="N141" i="3"/>
  <c r="O141" i="3" s="1"/>
  <c r="P141" i="3" s="1"/>
  <c r="N140" i="3"/>
  <c r="O140" i="3" s="1"/>
  <c r="P140" i="3" s="1"/>
  <c r="N139" i="3"/>
  <c r="O139" i="3" s="1"/>
  <c r="P139" i="3" s="1"/>
  <c r="N138" i="3"/>
  <c r="O138" i="3" s="1"/>
  <c r="P138" i="3" s="1"/>
  <c r="N137" i="3"/>
  <c r="O137" i="3" s="1"/>
  <c r="N134" i="3"/>
  <c r="O134" i="3" s="1"/>
  <c r="P134" i="3" s="1"/>
  <c r="N133" i="3"/>
  <c r="O133" i="3" s="1"/>
  <c r="N130" i="3"/>
  <c r="O130" i="3" s="1"/>
  <c r="P130" i="3" s="1"/>
  <c r="N129" i="3"/>
  <c r="O129" i="3" s="1"/>
  <c r="P129" i="3" s="1"/>
  <c r="N128" i="3"/>
  <c r="O128" i="3" s="1"/>
  <c r="P128" i="3" s="1"/>
  <c r="N127" i="3"/>
  <c r="O127" i="3" s="1"/>
  <c r="P127" i="3" s="1"/>
  <c r="N126" i="3"/>
  <c r="N121" i="3"/>
  <c r="O121" i="3" s="1"/>
  <c r="P121" i="3" s="1"/>
  <c r="N120" i="3"/>
  <c r="O120" i="3" s="1"/>
  <c r="N116" i="3"/>
  <c r="O116" i="3" s="1"/>
  <c r="P116" i="3" s="1"/>
  <c r="N115" i="3"/>
  <c r="O115" i="3" s="1"/>
  <c r="P115" i="3" s="1"/>
  <c r="N114" i="3"/>
  <c r="O114" i="3" s="1"/>
  <c r="P114" i="3" s="1"/>
  <c r="N113" i="3"/>
  <c r="O113" i="3" s="1"/>
  <c r="P113" i="3" s="1"/>
  <c r="N112" i="3"/>
  <c r="O112" i="3" s="1"/>
  <c r="P112" i="3" s="1"/>
  <c r="N111" i="3"/>
  <c r="O111" i="3" s="1"/>
  <c r="P111" i="3" s="1"/>
  <c r="N110" i="3"/>
  <c r="O110" i="3" s="1"/>
  <c r="P110" i="3" s="1"/>
  <c r="N109" i="3"/>
  <c r="O109" i="3" s="1"/>
  <c r="P109" i="3" s="1"/>
  <c r="N108" i="3"/>
  <c r="O108" i="3" s="1"/>
  <c r="P108" i="3" s="1"/>
  <c r="N107" i="3"/>
  <c r="O107" i="3" s="1"/>
  <c r="P107" i="3" s="1"/>
  <c r="N106" i="3"/>
  <c r="N90" i="3"/>
  <c r="O90" i="3" s="1"/>
  <c r="P90" i="3" s="1"/>
  <c r="N89" i="3"/>
  <c r="O89" i="3" s="1"/>
  <c r="P89" i="3" s="1"/>
  <c r="N88" i="3"/>
  <c r="O88" i="3" s="1"/>
  <c r="P88" i="3" s="1"/>
  <c r="N87" i="3"/>
  <c r="O87" i="3" s="1"/>
  <c r="P87" i="3" s="1"/>
  <c r="N86" i="3"/>
  <c r="O86" i="3" s="1"/>
  <c r="P86" i="3" s="1"/>
  <c r="N85" i="3"/>
  <c r="O85" i="3" s="1"/>
  <c r="P85" i="3" s="1"/>
  <c r="N84" i="3"/>
  <c r="O84" i="3" s="1"/>
  <c r="P84" i="3" s="1"/>
  <c r="N83" i="3"/>
  <c r="O83" i="3" s="1"/>
  <c r="N28" i="3"/>
  <c r="O28" i="3" s="1"/>
  <c r="P28" i="3" s="1"/>
  <c r="N53" i="3"/>
  <c r="O53" i="3" s="1"/>
  <c r="N27" i="3"/>
  <c r="O27" i="3" s="1"/>
  <c r="P27" i="3" s="1"/>
  <c r="G181" i="3"/>
  <c r="G190" i="3"/>
  <c r="G96" i="3"/>
  <c r="G80" i="3"/>
  <c r="G117" i="3"/>
  <c r="G103" i="3"/>
  <c r="G91" i="3"/>
  <c r="G72" i="3"/>
  <c r="D4" i="7"/>
  <c r="D4" i="8" s="1"/>
  <c r="E5" i="7"/>
  <c r="C5" i="7"/>
  <c r="E29" i="9"/>
  <c r="G164" i="3" l="1"/>
  <c r="N96" i="3"/>
  <c r="O189" i="3"/>
  <c r="O161" i="3"/>
  <c r="P161" i="3" s="1"/>
  <c r="K48" i="3"/>
  <c r="N80" i="3"/>
  <c r="P193" i="3"/>
  <c r="N190" i="3"/>
  <c r="N155" i="3"/>
  <c r="N122" i="3"/>
  <c r="O80" i="3"/>
  <c r="P80" i="3" s="1"/>
  <c r="O184" i="3"/>
  <c r="P184" i="3" s="1"/>
  <c r="P83" i="3"/>
  <c r="O91" i="3"/>
  <c r="P91" i="3" s="1"/>
  <c r="P62" i="3"/>
  <c r="P54" i="3"/>
  <c r="P56" i="3"/>
  <c r="N72" i="3"/>
  <c r="N135" i="3"/>
  <c r="O95" i="3"/>
  <c r="P95" i="3" s="1"/>
  <c r="P65" i="3"/>
  <c r="P58" i="3"/>
  <c r="P55" i="3"/>
  <c r="P67" i="3"/>
  <c r="N103" i="3"/>
  <c r="P61" i="3"/>
  <c r="P60" i="3"/>
  <c r="P75" i="3"/>
  <c r="O153" i="3"/>
  <c r="O155" i="3" s="1"/>
  <c r="P155" i="3" s="1"/>
  <c r="P63" i="3"/>
  <c r="P94" i="3"/>
  <c r="O99" i="3"/>
  <c r="O103" i="3" s="1"/>
  <c r="P103" i="3" s="1"/>
  <c r="P68" i="3"/>
  <c r="P66" i="3"/>
  <c r="P69" i="3"/>
  <c r="P57" i="3"/>
  <c r="O59" i="3"/>
  <c r="P59" i="3" s="1"/>
  <c r="P70" i="3"/>
  <c r="N91" i="3"/>
  <c r="P53" i="3"/>
  <c r="N181" i="3"/>
  <c r="O181" i="3"/>
  <c r="P181" i="3" s="1"/>
  <c r="N151" i="3"/>
  <c r="P145" i="3"/>
  <c r="O151" i="3"/>
  <c r="P151" i="3" s="1"/>
  <c r="N143" i="3"/>
  <c r="P137" i="3"/>
  <c r="O143" i="3"/>
  <c r="P143" i="3" s="1"/>
  <c r="O135" i="3"/>
  <c r="P135" i="3" s="1"/>
  <c r="P133" i="3"/>
  <c r="N131" i="3"/>
  <c r="O126" i="3"/>
  <c r="O122" i="3"/>
  <c r="P122" i="3" s="1"/>
  <c r="P120" i="3"/>
  <c r="N117" i="3"/>
  <c r="O106" i="3"/>
  <c r="G160" i="3"/>
  <c r="G156" i="3"/>
  <c r="F26" i="1"/>
  <c r="G7" i="6"/>
  <c r="G5" i="6"/>
  <c r="P189" i="3" l="1"/>
  <c r="P153" i="3"/>
  <c r="O72" i="3"/>
  <c r="P72" i="3" s="1"/>
  <c r="G48" i="3"/>
  <c r="N48" i="3" s="1"/>
  <c r="N49" i="3" s="1"/>
  <c r="O190" i="3"/>
  <c r="P190" i="3" s="1"/>
  <c r="N156" i="3"/>
  <c r="O156" i="3" s="1"/>
  <c r="P156" i="3" s="1"/>
  <c r="P99" i="3"/>
  <c r="L164" i="3"/>
  <c r="N164" i="3"/>
  <c r="O96" i="3"/>
  <c r="P96" i="3" s="1"/>
  <c r="L160" i="3"/>
  <c r="N160" i="3"/>
  <c r="P126" i="3"/>
  <c r="O131" i="3"/>
  <c r="P131" i="3" s="1"/>
  <c r="P106" i="3"/>
  <c r="O117" i="3"/>
  <c r="P117" i="3" s="1"/>
  <c r="G159" i="3"/>
  <c r="L48" i="3"/>
  <c r="F22" i="1"/>
  <c r="G49" i="3" l="1"/>
  <c r="O160" i="3"/>
  <c r="P160" i="3" s="1"/>
  <c r="O164" i="3"/>
  <c r="P164" i="3" s="1"/>
  <c r="L159" i="3"/>
  <c r="L165" i="3" s="1"/>
  <c r="N159" i="3"/>
  <c r="N165" i="3" s="1"/>
  <c r="G165" i="3"/>
  <c r="L49" i="3"/>
  <c r="O48" i="3"/>
  <c r="P48" i="3" s="1"/>
  <c r="F24" i="1"/>
  <c r="G195" i="3" l="1"/>
  <c r="D202" i="3" s="1"/>
  <c r="Y195" i="3" s="1"/>
  <c r="F28" i="1"/>
  <c r="O159" i="3"/>
  <c r="O165" i="3" s="1"/>
  <c r="P165" i="3" s="1"/>
  <c r="O49" i="3"/>
  <c r="P49" i="3" s="1"/>
  <c r="G198" i="3" l="1"/>
  <c r="G199" i="3" s="1"/>
  <c r="G196" i="3"/>
  <c r="F20" i="1" s="1"/>
  <c r="F30" i="1" s="1"/>
  <c r="E47" i="1" s="1"/>
  <c r="G1" i="6"/>
  <c r="P159" i="3"/>
  <c r="E45" i="1" l="1"/>
  <c r="M165" i="3"/>
  <c r="M103" i="3"/>
  <c r="M72" i="3"/>
  <c r="F36" i="1" l="1"/>
  <c r="F38" i="1" s="1"/>
</calcChain>
</file>

<file path=xl/sharedStrings.xml><?xml version="1.0" encoding="utf-8"?>
<sst xmlns="http://schemas.openxmlformats.org/spreadsheetml/2006/main" count="947" uniqueCount="508">
  <si>
    <r>
      <rPr>
        <sz val="12"/>
        <color theme="1"/>
        <rFont val="Calibri"/>
        <family val="2"/>
      </rPr>
      <t>Validità Preventivo: 15</t>
    </r>
    <r>
      <rPr>
        <b/>
        <sz val="12"/>
        <color theme="1"/>
        <rFont val="Calibri"/>
        <family val="2"/>
      </rPr>
      <t>gg</t>
    </r>
  </si>
  <si>
    <t>Dati Cliente</t>
  </si>
  <si>
    <t>RIEPILOGO TOTALI</t>
  </si>
  <si>
    <t>Celle correttive</t>
  </si>
  <si>
    <r>
      <t xml:space="preserve">A-EDILE </t>
    </r>
    <r>
      <rPr>
        <i/>
        <sz val="9"/>
        <color rgb="FF244061"/>
        <rFont val="Lucida Sans"/>
        <family val="2"/>
      </rPr>
      <t>iva inclusa 10%</t>
    </r>
  </si>
  <si>
    <r>
      <t xml:space="preserve">D-PRODOTTI </t>
    </r>
    <r>
      <rPr>
        <i/>
        <sz val="9"/>
        <color rgb="FF244061"/>
        <rFont val="Lucida Sans"/>
        <family val="2"/>
      </rPr>
      <t>iva inclusa 10%</t>
    </r>
  </si>
  <si>
    <r>
      <t xml:space="preserve">TOTALE </t>
    </r>
    <r>
      <rPr>
        <i/>
        <sz val="14"/>
        <color rgb="FF244061"/>
        <rFont val="Lucida Sans Unicode"/>
        <family val="2"/>
      </rPr>
      <t xml:space="preserve"> iva inclusa</t>
    </r>
  </si>
  <si>
    <r>
      <t xml:space="preserve">NOMINA DI CSE/CSP </t>
    </r>
    <r>
      <rPr>
        <sz val="9"/>
        <color rgb="FF244061"/>
        <rFont val="Lucida Sans Unicode"/>
        <family val="2"/>
      </rPr>
      <t>inclusa iva e contrubuti</t>
    </r>
  </si>
  <si>
    <r>
      <rPr>
        <sz val="11"/>
        <color rgb="FF244061"/>
        <rFont val="Lucida Sans"/>
        <family val="2"/>
      </rPr>
      <t xml:space="preserve">PRATICHE AMMINISTRATIVE </t>
    </r>
    <r>
      <rPr>
        <sz val="9"/>
        <color rgb="FF244061"/>
        <rFont val="Lucida Sans Unicode"/>
        <family val="2"/>
      </rPr>
      <t>inclusa iva e contrubuti</t>
    </r>
  </si>
  <si>
    <t>DESCRIZIONE</t>
  </si>
  <si>
    <t>UM:</t>
  </si>
  <si>
    <t>Qta:</t>
  </si>
  <si>
    <t>Prezzo Unità</t>
  </si>
  <si>
    <t>Totale</t>
  </si>
  <si>
    <t>NOTE</t>
  </si>
  <si>
    <t>cad</t>
  </si>
  <si>
    <t>Listino</t>
  </si>
  <si>
    <t>TOTALE IMPRESA</t>
  </si>
  <si>
    <t>Fee arch.</t>
  </si>
  <si>
    <t>Guadagno</t>
  </si>
  <si>
    <t>Percentuale</t>
  </si>
  <si>
    <t>A</t>
  </si>
  <si>
    <t>ALLESTIMENTO DI CANTIERE</t>
  </si>
  <si>
    <t>NOTE(non stampare mai)</t>
  </si>
  <si>
    <t xml:space="preserve">Sal gg </t>
  </si>
  <si>
    <t>EDILE</t>
  </si>
  <si>
    <t>A.1</t>
  </si>
  <si>
    <t>ac</t>
  </si>
  <si>
    <t>ELETTRICO</t>
  </si>
  <si>
    <t>A.2</t>
  </si>
  <si>
    <t>Installazione di quadro elettrico di cantiere effettuato da operatore abilitato, e rilascio della certificazioni di installazione e conformità valido per tutta la durata del cantiere.</t>
  </si>
  <si>
    <t>Il quadro mobile per cantiere deve essere presente.</t>
  </si>
  <si>
    <t>A.3</t>
  </si>
  <si>
    <t>Questa voce deve essere presente nel caso di rifacimento di uno o più bagni</t>
  </si>
  <si>
    <t>a piatto doccia</t>
  </si>
  <si>
    <t>b vasca da bagno</t>
  </si>
  <si>
    <t>c vaso igienico (WC)</t>
  </si>
  <si>
    <t>d bidet</t>
  </si>
  <si>
    <t>e lavabo singolo su mensola</t>
  </si>
  <si>
    <t>f lavello da cucina in porcellana</t>
  </si>
  <si>
    <t>g scaldabagno elettrico</t>
  </si>
  <si>
    <t>h cassetta alta di scarico</t>
  </si>
  <si>
    <t>IDRAULICO</t>
  </si>
  <si>
    <t>A.4</t>
  </si>
  <si>
    <t>Questa voce deve essere presente nel caso di rifacimento di uno o più bagni. Dovrà essere computata una linea da rimuovere  per ogni bagno da rifare.</t>
  </si>
  <si>
    <t>A.5</t>
  </si>
  <si>
    <t>Rimozione di tutte le porte interne comprese di anta, telaio e falso telaio con trasposto dal piano strada alle pubbliche discariche.
Compreso il carico da piano strada e trasporto ad impianti di stoccaggio, di recupero o a discarica.</t>
  </si>
  <si>
    <t>A.6</t>
  </si>
  <si>
    <t>Rimozione dei corpi riscaldanti in alluminio e/o ghisa presenti all'interno dell'immobile.Compreso il carico da piano strada e trasporto ad impianti di stoccaggio, di recupero o a discarica.</t>
  </si>
  <si>
    <t>radiatori in ghisa e/o in alluminio:</t>
  </si>
  <si>
    <t>b da 7 a 12 elementi, per radiatore</t>
  </si>
  <si>
    <t>c da 13 a 20 elementi, per radiatore</t>
  </si>
  <si>
    <t>A.7</t>
  </si>
  <si>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alimentazione elettrica:</t>
  </si>
  <si>
    <t>a macchina interna a parete alta o soffitto</t>
  </si>
  <si>
    <t>b macchina interna a parete bassa o pavimento.</t>
  </si>
  <si>
    <t>A.8</t>
  </si>
  <si>
    <t>piano</t>
  </si>
  <si>
    <t>Questa voce deve essere presente. Il tecnico dovrà riportare nella formula il numero del piano (ad esempio: *1 se è piano primo, *2 se è piano secondo ecc). Si precisa che normalmente la consegna delle forniture è effettuata all’indirizzo indicato dal Cliente al termine del processo di acquisto, con scarico al piano terra del numero civico. Questa voce, pertanto, include: 1) la consegna delle forniture all’interno dell’abitazione del Cliente; 2) il controllo, al momento della consegna, del numero dei colli in consegna e dell'integrità dell’imballo; 3) movimentazione del materiale di risulta.</t>
  </si>
  <si>
    <t>TOTALE ALLESTIMENTO DI CANTIERE</t>
  </si>
  <si>
    <t>DEMOLIZIONI - RIMOZIONI - TRASPORTO</t>
  </si>
  <si>
    <t>A.1.1</t>
  </si>
  <si>
    <t>a muratura in mattoni pieni</t>
  </si>
  <si>
    <t>mq</t>
  </si>
  <si>
    <t>b muratura in mattoni forati</t>
  </si>
  <si>
    <t>A.1.2</t>
  </si>
  <si>
    <t>A.1.3</t>
  </si>
  <si>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discarica come rifiuto speciale.</t>
  </si>
  <si>
    <t>A.1.4</t>
  </si>
  <si>
    <t>Spicconatura di intonaco a vivo di muro, di spessore fino a 3 cm compresi l’onere di esecuzione anche a piccole zone, la spazzolatura delle superfici, l’accatastamento nell'ambito del cantiere, incluso il trasporto a rifiuto in discarica autorizzata del materiale inutilizzabile.</t>
  </si>
  <si>
    <t>Questa voce deve essere presente nel caso di rimozione di intonaco ammalorato. L'asportazione di intonaco, mediante demolizione con attrezzature meccaniche e/o con attrezzi manuali, viene eseguita solitamente su intonaci ammalorati fino al vivo della muratura sottostante, per valutarne lo stato di conservazione e degrado ed effettuare le necessarie operazioni di ripristino.</t>
  </si>
  <si>
    <t>A.1.5</t>
  </si>
  <si>
    <r>
      <rPr>
        <b/>
        <sz val="8"/>
        <color theme="1"/>
        <rFont val="Arial"/>
        <family val="2"/>
      </rPr>
      <t xml:space="preserve">Questa voce deve essere presente nel caso di rifacimento di bagni, posa di nuovo impianto di riscaldamento tradizionale e/o riscaldamento a pavimento. Si dovrà prevedere il successivo rifacimento del massetto e posa pavimentazione. </t>
    </r>
    <r>
      <rPr>
        <b/>
        <sz val="8"/>
        <color rgb="FFFF0000"/>
        <rFont val="Arial"/>
        <family val="2"/>
      </rPr>
      <t xml:space="preserve">Si precisa che la stratigrafia vede solaio, su cui vengono appoggiati e fissati gli impianti, quindi strato di sottofondo, che ingloba le tubazioni ed infine il massetto, sul quale sarà incollata la pavimentazione.     </t>
    </r>
  </si>
  <si>
    <t>A.1.6</t>
  </si>
  <si>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nell'ambito del cantiere. Compreso il carico da piano strada e trasporto ad impianti di stoccaggio, di recupero o a discarica..</t>
  </si>
  <si>
    <t>A.1.7</t>
  </si>
  <si>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discarica.</t>
  </si>
  <si>
    <t>A.1.8</t>
  </si>
  <si>
    <t>Demolizione di battiscopa in legno. Compreso l’accatastamento nei siti che verranno indicati dalla Direzione dei lavori nell'ambito del cantiere. Compreso il carico da piano strada e trasporto ad impianti di stoccaggio, di recupero o a discarica.</t>
  </si>
  <si>
    <t>ml</t>
  </si>
  <si>
    <t>A.1.9</t>
  </si>
  <si>
    <t>A.1.10</t>
  </si>
  <si>
    <t>A.1.11</t>
  </si>
  <si>
    <t>a per uno strato.</t>
  </si>
  <si>
    <t>b per ogni strato sottostante in più</t>
  </si>
  <si>
    <t>A.1.12</t>
  </si>
  <si>
    <t>Demolizione di guaina bituminosa (strato impermeabilizzante) Compreso l’accatastamento nei siti che verranno indicati dalla Direzione dei lavori nell'ambito del cantiere. Compreso il carico da piano strada e trasporto ad impianti di stoccaggio, di recupero o a discarica.</t>
  </si>
  <si>
    <t>A.1.13</t>
  </si>
  <si>
    <t>Rimozione gradini ad altezza fino a 15cm.Compreso l’accatastamento nei siti che verranno indicati dalla Direzione dei lavori nell'ambito del cantiere. Compreso il carico da piano strada e trasporto ad impianti di stoccaggio, di recupero o a discarica.</t>
  </si>
  <si>
    <t>A.1.14</t>
  </si>
  <si>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della parete ed esclusa la cerchiatura, putrelle sostegni ed altro materiale idoneo che andrà computato a seguito di calcolo strutturale.</t>
  </si>
  <si>
    <t>A.1.15</t>
  </si>
  <si>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 solaio ed esclusa la cerchiatura, putrelle sostegni ed altro materiale idoneoche andrà computata a seguito di calcolo strutturale.</t>
  </si>
  <si>
    <t>A.1.16</t>
  </si>
  <si>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t>
  </si>
  <si>
    <t xml:space="preserve">TOTALE DEMOLIZIONI, RIMOZIONI E TRASPORTO    </t>
  </si>
  <si>
    <t>MASSETTI</t>
  </si>
  <si>
    <t>A.2.1</t>
  </si>
  <si>
    <t>A.2.2</t>
  </si>
  <si>
    <t>A.2.3</t>
  </si>
  <si>
    <r>
      <rPr>
        <sz val="11"/>
        <color rgb="FF000000"/>
        <rFont val="Arial"/>
        <family val="2"/>
      </rPr>
      <t xml:space="preserve">Realizzazione </t>
    </r>
    <r>
      <rPr>
        <b/>
        <sz val="11"/>
        <color rgb="FF000000"/>
        <rFont val="Arial"/>
        <family val="2"/>
      </rPr>
      <t>Massetto termoacustico</t>
    </r>
    <r>
      <rPr>
        <sz val="11"/>
        <color rgb="FF000000"/>
        <rFont val="Arial"/>
        <family val="2"/>
      </rPr>
      <t>, tipo "LecaCem®"  costituito da malta premiscelata per la realizzazione di sottofondi monostrato alleggeriti , a norma di legge termica e acustica (U≤0.8  W/m²K e L’n,w ≤ 63dB)..  Per ogni ulteriori 2cm verrà calcolato un sovrapprezzo di 18€/mq</t>
    </r>
  </si>
  <si>
    <t>A.2.4</t>
  </si>
  <si>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cassero fino alla sua sommità (a raso) e di una soletta superiore di 5 cm armata con rete elettrosaldata, livellata e tirata a frattazzo su cui realizzare la posa del massetto.</t>
  </si>
  <si>
    <t>A.2.5</t>
  </si>
  <si>
    <t>Fornitura e posa in opera di autolivellante (spessore fino a 3mm) al fine di rendere le superfici pronte alla posa della pavimentaizone.</t>
  </si>
  <si>
    <t xml:space="preserve">Questa voce deve essere presente ogni qualvolta si rimuove la sola pavimentazione, o si va in sovapposizione alla stessa. </t>
  </si>
  <si>
    <t xml:space="preserve">TOTALE MASSETTI </t>
  </si>
  <si>
    <t>OPERE MURARIE</t>
  </si>
  <si>
    <t>A.3.1</t>
  </si>
  <si>
    <t>A.3.2</t>
  </si>
  <si>
    <t>A.3.3</t>
  </si>
  <si>
    <t>A.3.4</t>
  </si>
  <si>
    <t>A.3.5</t>
  </si>
  <si>
    <t>A.3.6</t>
  </si>
  <si>
    <t xml:space="preserve">Questa voce deve essere presente nel caso di realizzazione di porte su nuova muratura e/o di aperture o spostamenti di porte su murature esistenti. </t>
  </si>
  <si>
    <t>A.3.7</t>
  </si>
  <si>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a 10 cm. </t>
  </si>
  <si>
    <t>A.3.8</t>
  </si>
  <si>
    <t xml:space="preserve">Questa voce deve essere presente nel caso di apertura di un varco in un muro portante e consiste nella realizzazione di un telaio metallico intorno alla nuova apertura. </t>
  </si>
  <si>
    <t xml:space="preserve">TOTALE OPERE MURARIE </t>
  </si>
  <si>
    <t>INTONACI</t>
  </si>
  <si>
    <t>A.4.1</t>
  </si>
  <si>
    <t>Questa voce dovrà essere computata per i due lati della muratura. Si precisa che nel caso di utilizzo di blocchi Siporex, una volta terminata la parete, è necessario effettuare una rasatura sul muro realizzato con uno strato sottile di: intonaco a base di calce o cemento, oppure utilizzando la stessa colla per blocchi espansi.</t>
  </si>
  <si>
    <t>A.4.2</t>
  </si>
  <si>
    <t xml:space="preserve">Questa voce deve essere presente ogni qualvolta si rimuove un rivestimento e si realizza la finitura a intonaco (da calcolare almeno per il 100% della rimozione rivestimento) e per riprese d'intonaco sulle tracce dei tramezzi demoliti. </t>
  </si>
  <si>
    <t>TOTALE INTONACI</t>
  </si>
  <si>
    <t>CONTROSOFFITTI e SOPPALCHI</t>
  </si>
  <si>
    <t>A.5.1</t>
  </si>
  <si>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l’opera finita, esclusa la rasatura.</t>
  </si>
  <si>
    <t>A.5.2</t>
  </si>
  <si>
    <t>Isolamento in lana di vetro per controsoffitti, spessore fino a 2cm e di densità pari a 85 kg/mc</t>
  </si>
  <si>
    <t>A.5.3</t>
  </si>
  <si>
    <t>Relizzazione di velette in cartongesso da 12,5 mm per controsoffitti, per uno spessore massimo di 10 cm e larghezza massima 30cm per innesto di luce indiretta.</t>
  </si>
  <si>
    <t>A.5.4</t>
  </si>
  <si>
    <t>Realizzazione di soppalco non abitabile, con struttura metallica e pannelli in cartongesso. Incluse aperture con controtelai in legno ed eslusi pannelli di chiusura.</t>
  </si>
  <si>
    <t>TOTALE CONTROSOFFITTI E SOPPALCHI</t>
  </si>
  <si>
    <t>PAVIMENTI E RIVESTIMENTI</t>
  </si>
  <si>
    <t>A.6.1</t>
  </si>
  <si>
    <t>A.6.2</t>
  </si>
  <si>
    <t>SOLO P.O.</t>
  </si>
  <si>
    <t>A.6.3</t>
  </si>
  <si>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</si>
  <si>
    <t>A.6.4</t>
  </si>
  <si>
    <t>A.6.5</t>
  </si>
  <si>
    <t>A.6.6</t>
  </si>
  <si>
    <t>Posa in opera di mosaico di qualsiasi genere, comprese colle e stucchi.</t>
  </si>
  <si>
    <t>A.6.7</t>
  </si>
  <si>
    <t>Posa in opera di battiscopa in legno mediante l'ausilio di chiodini senza testa e/o silicone con taglio a 45° per gli angoli, esclusa fornitura, di qualsiasi genere, escluse colle e stucchi.</t>
  </si>
  <si>
    <t>A.6.8</t>
  </si>
  <si>
    <t>Posa in opera di battiscopa in ceramica mediante l'ausilio di colla, esclusa fornitura, di qualsiasi genere, escluse colle e stucchi.</t>
  </si>
  <si>
    <t>A.6.9</t>
  </si>
  <si>
    <t>Arrotatura, levigatura e lucidatura di pavimenti in marmo, con mezzo meccanico, compreso ogni onere e magistero per dare il lavoro eseguito a regola d'arte.</t>
  </si>
  <si>
    <t>A.6.10</t>
  </si>
  <si>
    <t>Levigatura e Lucidatura di pavimenti in parquet, con mezzo meccanico, compreso ogni onere e magistero per dare il lavoro eseguito a regola d'arte.</t>
  </si>
  <si>
    <t>A.6.11</t>
  </si>
  <si>
    <t xml:space="preserve">Taglio porta blindata per renderla adatta alla posa nel nuovo pavimento </t>
  </si>
  <si>
    <t>TOTALE PAVIMENTI E RIVESTIMENTI</t>
  </si>
  <si>
    <t>IMPERMEABILIZZAZIONI</t>
  </si>
  <si>
    <t>A.7.1</t>
  </si>
  <si>
    <t>A.7.2</t>
  </si>
  <si>
    <t>Fornitura e posa in opera di membrana prefabbricata bituminosa, con flessibilità a freddo di –25°C e armatura costituita da tessuto-non tessuto di poliestere rinforzato con fibre di vetro.</t>
  </si>
  <si>
    <t>TOTALE IMPERMEABILIZZAZIONI</t>
  </si>
  <si>
    <t>IMPIANTI</t>
  </si>
  <si>
    <t>IMPIANTO IDRAULICO:</t>
  </si>
  <si>
    <t>A.8.1</t>
  </si>
  <si>
    <t xml:space="preserve">Questa voce deve prevedere un punto acqua (adduzione e scarico) per ogni singolo apparecchio. Si precisa che si potrà prevedere l'impianto idrico "in derivazione" o "a collettore". Un impianto "a collettore" prevede una tubazione che, partendo da un collettore con funzione di distributore centrale idrico, arriva ai singoli apparecchi di servizio. Per l'impianto "a collettore" dovrà essere aggiunta la voce A.8.3.            1) Un punto acqua per il lavabo;
2) Un punto acqua per il water;
3) Un punto acqua per il bidet;
4) Un punto acqua per la doccia;
5) Un punto acqua per la vasca;                                         6) Un punto acqua lavello;                                                  7) Un punto acqua per lavatrice e/o lavastoviglie. </t>
  </si>
  <si>
    <t>A.8.2</t>
  </si>
  <si>
    <t>Modifica di braga di scarico per eventuali nuove diramazioni.</t>
  </si>
  <si>
    <t>A.8.3</t>
  </si>
  <si>
    <t>Realizzazione di centralina per impianto idrico di adduzione, compreso ogni onere e magistero per dare il lavoro eseguito a regola d'arte. Una centralina comprende massimo 5 chiusure.</t>
  </si>
  <si>
    <t>Questa voce deve essere presente nel caso di realizzazione di impianto idrico a collettore (vedi voce A.8.1)</t>
  </si>
  <si>
    <t>A.8.4</t>
  </si>
  <si>
    <t>Posa in opera di pompa di scarico (tipo Sanitrit), esclusa la fornitura, per un massimo di 4 elementi</t>
  </si>
  <si>
    <t>A.8.5</t>
  </si>
  <si>
    <t>TOTALE IMPIANTO IDRICO</t>
  </si>
  <si>
    <t>IMPIANTO GAS:</t>
  </si>
  <si>
    <t>A.8.7</t>
  </si>
  <si>
    <t>Realizzazione di impianto gas per la cucina a partire dal contatore al piano o dal rubinetto di immissione nell'immobile. Realizzato con tubazioni a norma di legge e scatola con rubinetto di arresto. Calcolato per una lunghezza massima di 10ml.</t>
  </si>
  <si>
    <t>A.8.8</t>
  </si>
  <si>
    <t>Realizzazione di impianto gas per la caldaia/scaldabagno a partire dal contatore al piano o dal rubinetto di immissione nell'immobile. Realizzato con tubazioni a norma di legge e rubinetto di arresto. Calcolato per una lunghezza massima di 10ml.</t>
  </si>
  <si>
    <t>TOTALE IMPIANTO GAS</t>
  </si>
  <si>
    <t>IMPIANTO TERMOIDRAULICO:</t>
  </si>
  <si>
    <t>A.8.10</t>
  </si>
  <si>
    <t xml:space="preserve">Si precisa che per questa voce dovrà essere computato un punto termoidraulico per ogni radiatore, collettore e caldaia.  </t>
  </si>
  <si>
    <t>A.8.11</t>
  </si>
  <si>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</si>
  <si>
    <t>A.8.12</t>
  </si>
  <si>
    <t>Blocco parziale dell'impianto condominiale per modifica impianto termico mediante congelamento tubi.</t>
  </si>
  <si>
    <r>
      <rPr>
        <b/>
        <sz val="8"/>
        <color rgb="FFFF0000"/>
        <rFont val="Arial"/>
        <family val="2"/>
      </rPr>
      <t>Si precisa che si dovrà sempre verifcare la fattibilità tecnica della lavorazione.</t>
    </r>
    <r>
      <rPr>
        <b/>
        <sz val="8"/>
        <color theme="1"/>
        <rFont val="Arial"/>
        <family val="2"/>
      </rPr>
      <t xml:space="preserve"> Questa voce deve essere presente nel caso di modifica dell'impianto termico centralizzato all'interno delle abitazioni. Questo tipo di intervento si rende necessario per non svuotare l'intero impianto termico centralizzato. Si procede con il congelamento dei tubi (mandata e ritorno) del radiaore.  </t>
    </r>
  </si>
  <si>
    <t>A.8.13.1</t>
  </si>
  <si>
    <t>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(pareti, pilastri, etc.)</t>
  </si>
  <si>
    <t>A.8.13.2</t>
  </si>
  <si>
    <t xml:space="preserve">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diseareatore, con pannelli lisci e tubi in polietilene reticolato a raggi elettronici fissati mediante clip di fissaggio. Si precisa che il punto di allaccio idrico della caldaia e i collettori di distribuzione dovranno essere computati come punti termoidraulici. Prezzo indicativo da confermare a cura del termotecnico incaricato dall’azienda fornitrice. </t>
  </si>
  <si>
    <t>A.8.13.3</t>
  </si>
  <si>
    <t>Creazione di collettore di distribuzione e punto caldaia. Il collettore di distribuzione e il punto di allaccio idrico della caldaia dovranno essere computati come punti termoidraulici.</t>
  </si>
  <si>
    <t>TOTALE IMPIANTO TERMOIDRAULICO</t>
  </si>
  <si>
    <t>IMPIANTO ELETTRICO:</t>
  </si>
  <si>
    <t>A.8.15</t>
  </si>
  <si>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verifica dell'impianto attuale.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</si>
  <si>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A.8.16</t>
  </si>
  <si>
    <t>A.8.17</t>
  </si>
  <si>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0,03 16A per Forza Prese.</t>
  </si>
  <si>
    <t>A.8.18</t>
  </si>
  <si>
    <t xml:space="preserve">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10A  </t>
  </si>
  <si>
    <t>sono le "linee dedicate" al quadro per gli elettrodomestici e/o per sezionare l'impianto ex novo
CALCOLARE SEMPRE:
1 linea dedicata per piano induzione
1 linea dedicata per impianto aria condizionata</t>
  </si>
  <si>
    <t>A.8.19</t>
  </si>
  <si>
    <r>
      <t>Realizzazione di impianto elettrico per alimentazione</t>
    </r>
    <r>
      <rPr>
        <b/>
        <sz val="11"/>
        <color rgb="FF000000"/>
        <rFont val="Arial"/>
        <family val="2"/>
      </rPr>
      <t xml:space="preserve"> impianto canalizzato</t>
    </r>
    <r>
      <rPr>
        <sz val="11"/>
        <color rgb="FF000000"/>
        <rFont val="Arial"/>
        <family val="2"/>
      </rPr>
      <t xml:space="preserve"> consistente nel collegamento elettrico tra macchina interna e macchina esterna, termostato di regolazione e alimentazione della macchina interna e collegamento dedicato al quadro elettrico
Dal computo resta esclusa la fornitura e sostituzione del quadro elettrico</t>
    </r>
  </si>
  <si>
    <t>A.8.20</t>
  </si>
  <si>
    <r>
      <t xml:space="preserve">Realizzazione di impianto elettrico per alimentazione elettrica </t>
    </r>
    <r>
      <rPr>
        <b/>
        <sz val="11"/>
        <color rgb="FF000000"/>
        <rFont val="Arial"/>
        <family val="2"/>
      </rPr>
      <t>air zone</t>
    </r>
    <r>
      <rPr>
        <sz val="11"/>
        <color rgb="FF000000"/>
        <rFont val="Arial"/>
        <family val="2"/>
      </rPr>
      <t xml:space="preserve"> consistente nel collegamento elettrico tra bocchetta motorizzata e termostato di zona. La voce è da integrare sempre con la voce A.19 del presente computo
Dal computo resta esclusa la fornitura e sostituzione del quadro elettrico</t>
    </r>
  </si>
  <si>
    <t>n.air zone</t>
  </si>
  <si>
    <t>TOTALE IMPIANTO ELETTRICO</t>
  </si>
  <si>
    <t>IMPIANTO DI CONDIZIONAMENTO:</t>
  </si>
  <si>
    <t>A.8.21</t>
  </si>
  <si>
    <t>A.8.22</t>
  </si>
  <si>
    <t>TOTALE IMPIANTO CONDIZIONAMENTO</t>
  </si>
  <si>
    <t>TOTALE IMPIANTI</t>
  </si>
  <si>
    <t>A.9</t>
  </si>
  <si>
    <t>ASSISTENZA MURARIA</t>
  </si>
  <si>
    <t>A.9.1</t>
  </si>
  <si>
    <t>Assistenza muraria dell'intero immobile relativa all'impianto idro sanitario, impianto di riscaldamento, impianto gas e impianto di condizionamento relativo all'apertura e chiusura di tutte le tracce a parete e a pavimento.</t>
  </si>
  <si>
    <t>A.9.2</t>
  </si>
  <si>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</si>
  <si>
    <t>A.9.3</t>
  </si>
  <si>
    <t xml:space="preserve">Assistenza muraria singolo ambiente (con o senza rifacimento massetto) relativa all'apertura e alla chiusura di tutte le tracce a parete e a pavimento per tutti gli impianti tecnologici preventivati.
</t>
  </si>
  <si>
    <t>Questa voce deve essere presente solo qundo siamo nella casisitica di rifacimento bagno o cucina, non deve mai essere computata come AC n.2, in questo caso utilizzare le assistenze in percentuale.</t>
  </si>
  <si>
    <t>A.9.4</t>
  </si>
  <si>
    <r>
      <t>Assistenza muraria per la predisposposizione dell'</t>
    </r>
    <r>
      <rPr>
        <b/>
        <sz val="11"/>
        <color rgb="FF000000"/>
        <rFont val="Arial"/>
        <family val="2"/>
      </rPr>
      <t>impianto canalizzat</t>
    </r>
    <r>
      <rPr>
        <sz val="11"/>
        <color rgb="FF000000"/>
        <rFont val="Arial"/>
        <family val="2"/>
      </rPr>
      <t xml:space="preserve">o (con o senza rifacimento massetto) relativa all'apertura dei buchi per il posizionamento delle bocchette di areazione e il loro fissaggio, esclusa la fornitura
</t>
    </r>
  </si>
  <si>
    <t>n.bocchette</t>
  </si>
  <si>
    <t>A.9.5</t>
  </si>
  <si>
    <r>
      <t xml:space="preserve">Assistenza muraria per la predisposposizione dell'impianto canalizzato (con o senza rifacimento massetto) relativa all'apertura e chiusura di tracce per il posizionamento e il collegamento dei dispositivi </t>
    </r>
    <r>
      <rPr>
        <b/>
        <sz val="11"/>
        <color rgb="FF000000"/>
        <rFont val="Arial"/>
        <family val="2"/>
      </rPr>
      <t>air zone</t>
    </r>
    <r>
      <rPr>
        <sz val="11"/>
        <color rgb="FF000000"/>
        <rFont val="Arial"/>
        <family val="2"/>
      </rPr>
      <t xml:space="preserve">, esclusa la fornitura dei componenti. </t>
    </r>
    <r>
      <rPr>
        <i/>
        <sz val="11"/>
        <color rgb="FF000000"/>
        <rFont val="Arial"/>
        <family val="2"/>
      </rPr>
      <t>Questa voce deve sempre essere associata alla voce A.9.4 del presente computo</t>
    </r>
    <r>
      <rPr>
        <sz val="11"/>
        <color rgb="FF000000"/>
        <rFont val="Arial"/>
        <family val="2"/>
      </rPr>
      <t xml:space="preserve">
</t>
    </r>
  </si>
  <si>
    <t xml:space="preserve">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esclusi gli imballi relativi a traslochi o mobili acquistati presso terzi) </t>
  </si>
  <si>
    <t>TOTALE ASSISTENZA MURARIA</t>
  </si>
  <si>
    <t>A.10</t>
  </si>
  <si>
    <t>MONTAGGI E ALLACCI</t>
  </si>
  <si>
    <t>A.10.1</t>
  </si>
  <si>
    <t>Montaggio di condizionatore (tipo slip o unico), esclusa fornitura. Compresa macchina esterna ed interna.</t>
  </si>
  <si>
    <t xml:space="preserve">Questa voce deve essere presente nel caso di montaggio/installazione di unità interna ed esterna del condizionatore. </t>
  </si>
  <si>
    <t>A.10.2</t>
  </si>
  <si>
    <t>Smontaggio e rimontaggio di radiatori senza apportare nessuna modifica impiantistica. Esclusa fornitura dei radiatori. (escluso il carico e lo scarico della colonna condominiale)</t>
  </si>
  <si>
    <t>A.10.3</t>
  </si>
  <si>
    <t>A.10.4</t>
  </si>
  <si>
    <t>A.10.5</t>
  </si>
  <si>
    <t>Posa in opera e collaudo di Box Doccia in Cristallo</t>
  </si>
  <si>
    <t>Questa voce deve essere presente nel caso di installazione di box doccia e verifica di perfetta tenuta all'acqua.</t>
  </si>
  <si>
    <t>A.10.6</t>
  </si>
  <si>
    <t>Motorizzazione serrande mediante fornitura e montaggio di motorino elettrico, esclusa la sostituzione di rullo.</t>
  </si>
  <si>
    <t>A.10.7</t>
  </si>
  <si>
    <t>Allaccio Impianto Acqua in cucina esclusa la raccorderia variabile a secondo di modello di impianto.</t>
  </si>
  <si>
    <t xml:space="preserve">Questa voce deve essere presente nel caso di allaccio acqua (adduzione e scarico) lavello e/o lavastoviglie. </t>
  </si>
  <si>
    <t>A.10.8</t>
  </si>
  <si>
    <t>Allaccio Impianto Gas per il piano cottura cucina esclusa la raccorderia variabile a secondo di modello di impianto.</t>
  </si>
  <si>
    <t xml:space="preserve">Questa voce deve essere presente nel caso di allaccio gas dal rubinetto di arresto al piano cottura </t>
  </si>
  <si>
    <t>A.10.9</t>
  </si>
  <si>
    <t>Carotaggio e Montaggio faretti, esclusa fornitura</t>
  </si>
  <si>
    <t xml:space="preserve">Questa voce deve essere presente nel caso di integrazione di faretti a incasso nel cartongesso di controsoffitti e/o qualsivoglia abbassamenti di soffitto. </t>
  </si>
  <si>
    <t>A.10.10</t>
  </si>
  <si>
    <t>Montaggio e fornitura di lampada d'emergenza</t>
  </si>
  <si>
    <t xml:space="preserve">Questa voce deve essere presente nel caso di realizzazione e/o modifica di impianto elettrico (adeguamento impianto elettrico). È doveroso sottolineare che le lampade di emergenza non sono obbligatorie in casa. </t>
  </si>
  <si>
    <t>A.10.11</t>
  </si>
  <si>
    <t>Montaggio lampadari, esclusa fornitura</t>
  </si>
  <si>
    <t xml:space="preserve">Questa voce deve essere presente nel caso di montaggio di lampade a sospensione a soffitto, lampade a plafone e applique (lampade da parete). </t>
  </si>
  <si>
    <t>A.10.12</t>
  </si>
  <si>
    <t>Realizzazione di foro areazione per cucina/cappa/ uscita areazione forzatabagno delle opportune dimensioni con carotatrice aspirante</t>
  </si>
  <si>
    <t>A.10.13</t>
  </si>
  <si>
    <t>Fornitura e posa di areazione forzata bagno, mediante installazione del motore tipo "Vortice®" e del tubo di uscita,opportunamente dimensionati</t>
  </si>
  <si>
    <t>calcolare sempre in aggiunta alla voce il foro di uscita, il tracantone in cartongesso per nascondere il tubo</t>
  </si>
  <si>
    <t>TOTALE MONTAGGI</t>
  </si>
  <si>
    <t>A.11</t>
  </si>
  <si>
    <t>OPERE DA PITTORE</t>
  </si>
  <si>
    <t>A.11.1</t>
  </si>
  <si>
    <t>Raschiatura di vecchie tinteggiature a calce, a tempera o lavabile da pareti e soffitti.</t>
  </si>
  <si>
    <t xml:space="preserve">Questa voce deve essere presente solo su richiesta della committenza e comunque in presenza di tinteggiature deteriorate. </t>
  </si>
  <si>
    <t>A.11.2</t>
  </si>
  <si>
    <t xml:space="preserve">Questa voce deve essere presente nei seguenti casi: a) per rinnovare o modificare l'aspetto delle pareti; b) in presenza di fori, crepe e/o per livellare alla perfezione la superficie della paretee e costituire un “fondo” dove la pittura può attecchire più facilmente. </t>
  </si>
  <si>
    <t>A.11.3</t>
  </si>
  <si>
    <t>A.11.4</t>
  </si>
  <si>
    <t>Tinteggiatura di pareti con pittura lavabile Bianca a due mani a coprire, esclusa la preparazione delle superfici con
rasatura e stuccatura.</t>
  </si>
  <si>
    <t>A.11.5</t>
  </si>
  <si>
    <t>Tinteggiatura di pareti con smalto Bianco a due mani a coprire, esclusa la preparazione delle superfici con rasatura e stuccatura.</t>
  </si>
  <si>
    <t>A.11.6</t>
  </si>
  <si>
    <t>TOTALE OPERE DA PITTORE</t>
  </si>
  <si>
    <t>A.12</t>
  </si>
  <si>
    <t>SICUREZZA CANTIERE</t>
  </si>
  <si>
    <t xml:space="preserve">Oneri alla sicurezza come da Dgls 81/08 </t>
  </si>
  <si>
    <t>Tempi di Consegna:</t>
  </si>
  <si>
    <t>MATERIALI DI FINITURA</t>
  </si>
  <si>
    <t>PAVIMENTI E RIVESTIMENTI GRES</t>
  </si>
  <si>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 xml:space="preserve"> effetto cemento</t>
    </r>
    <r>
      <rPr>
        <sz val="11"/>
        <color rgb="FF000000"/>
        <rFont val="Arial"/>
        <family val="2"/>
      </rPr>
      <t>, con superficie antiscivolo (R10 A):</t>
    </r>
    <r>
      <rPr>
        <b/>
        <sz val="11"/>
        <color rgb="FF000000"/>
        <rFont val="Arial"/>
        <family val="2"/>
      </rPr>
      <t>30 × 60 cm, naturale o bocciardato, spessore 10mm</t>
    </r>
  </si>
  <si>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con superficie antiscivolo (R10 A):</t>
    </r>
    <r>
      <rPr>
        <b/>
        <sz val="11"/>
        <color rgb="FF000000"/>
        <rFont val="Arial"/>
        <family val="2"/>
      </rPr>
      <t xml:space="preserve"> 60 × 60 cm, spessore 15 mm</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</si>
  <si>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xml:space="preserve">, con superficie antiscivolo (R10 A): </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</si>
  <si>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 xml:space="preserve"> effetto pietra naturale</t>
    </r>
    <r>
      <rPr>
        <sz val="11"/>
        <color rgb="FF000000"/>
        <rFont val="Arial"/>
        <family val="2"/>
      </rPr>
      <t xml:space="preserve">, rettificato, antiscivolo (R9): </t>
    </r>
    <r>
      <rPr>
        <b/>
        <sz val="11"/>
        <color rgb="FF000000"/>
        <rFont val="Arial"/>
        <family val="2"/>
      </rPr>
      <t>30 × 30 cm, disegno mosaico</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</si>
  <si>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mm:30 × 60 cm</t>
    </r>
  </si>
  <si>
    <t>Fornitura di pavimentazione/rivestimento in gres porcelanato
TIPO: Padana marmosmart pietrasanta smart honed 60 x 60 1° sc. (mq. 1,44x)</t>
  </si>
  <si>
    <r>
      <rPr>
        <b/>
        <sz val="11"/>
        <color rgb="FF000000"/>
        <rFont val="Arial"/>
        <family val="2"/>
      </rPr>
      <t>Gres porcellanato colorato in massa 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xml:space="preserve">, con superficie antiscivolo (R10 A):dimensioni </t>
    </r>
    <r>
      <rPr>
        <b/>
        <sz val="11"/>
        <color rgb="FF000000"/>
        <rFont val="Arial"/>
        <family val="2"/>
      </rPr>
      <t>60 × 60 cm, spessore 15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</si>
  <si>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mm:60 × 120 cm</t>
    </r>
  </si>
  <si>
    <r>
      <rPr>
        <b/>
        <sz val="11"/>
        <color rgb="FF000000"/>
        <rFont val="Arial"/>
        <family val="2"/>
      </rPr>
      <t>Gres porcellanato colorato in massa in piastrelle rettificat</t>
    </r>
    <r>
      <rPr>
        <sz val="11"/>
        <color rgb="FF000000"/>
        <rFont val="Arial"/>
        <family val="2"/>
      </rPr>
      <t>e,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con superficie antiscivolo (R10 A):</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</si>
  <si>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xml:space="preserve">, rettificato, antiscivolo (R9): </t>
    </r>
    <r>
      <rPr>
        <b/>
        <sz val="11"/>
        <color rgb="FF000000"/>
        <rFont val="Arial"/>
        <family val="2"/>
      </rPr>
      <t>30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</si>
  <si>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rettificato, antiscivolo (R9):</t>
    </r>
    <r>
      <rPr>
        <b/>
        <sz val="11"/>
        <color rgb="FF000000"/>
        <rFont val="Arial"/>
        <family val="2"/>
      </rPr>
      <t xml:space="preserve"> 60 × 120 cm, spessore 10,5 mm</t>
    </r>
  </si>
  <si>
    <r>
      <rPr>
        <b/>
        <sz val="11"/>
        <color rgb="FF000000"/>
        <rFont val="Arial"/>
        <family val="2"/>
      </rPr>
      <t>Gres porcellanato colorato</t>
    </r>
    <r>
      <rPr>
        <sz val="11"/>
        <color rgb="FF000000"/>
        <rFont val="Arial"/>
        <family val="2"/>
      </rPr>
      <t xml:space="preserve"> in massa in piastrelle rettificate, ottenute per pressatura, per pavimentazioni ad intenso calpestio, rispondenti alla norma UNI EN 14411, classe assorbimento acqua BIa UGL: granigliato:</t>
    </r>
    <r>
      <rPr>
        <b/>
        <sz val="11"/>
        <color rgb="FF000000"/>
        <rFont val="Arial"/>
        <family val="2"/>
      </rPr>
      <t xml:space="preserve"> 30 × 30 cm, effetto marmetta grana media
antiscivolo (R11), spessore 8,5 mm</t>
    </r>
  </si>
  <si>
    <r>
      <rPr>
        <b/>
        <sz val="11"/>
        <color rgb="FF000000"/>
        <rFont val="Arial"/>
        <family val="2"/>
      </rPr>
      <t>Gres porcellanato colorato in massa</t>
    </r>
    <r>
      <rPr>
        <sz val="11"/>
        <color rgb="FF000000"/>
        <rFont val="Arial"/>
        <family val="2"/>
      </rPr>
      <t xml:space="preserve"> in piastrelle rettificate, ottenute per pressatura, per pavimentazioni ad intenso calpestio, rispondenti alla norma UNI EN 14411, classe assorbimento acqua BIa UGL: granigliato: </t>
    </r>
    <r>
      <rPr>
        <b/>
        <sz val="11"/>
        <color rgb="FF000000"/>
        <rFont val="Arial"/>
        <family val="2"/>
      </rPr>
      <t>30 × 30 cm, superficie bocciardata antiscivolo (R12 B), spessore 8,5 mm</t>
    </r>
  </si>
  <si>
    <r>
      <rPr>
        <b/>
        <sz val="11"/>
        <color rgb="FF000000"/>
        <rFont val="Arial"/>
        <family val="2"/>
      </rPr>
      <t>Gres porcellanato smaltato in piastrell</t>
    </r>
    <r>
      <rPr>
        <sz val="11"/>
        <color rgb="FF000000"/>
        <rFont val="Arial"/>
        <family val="2"/>
      </rPr>
      <t>e, resistente agli sbalzi termici, al gelo e agli acidi, per pavimentazioni ad uso residenziale o terziario leggero, a norma UNI EN 14411 gruppo BIa GL:</t>
    </r>
    <r>
      <rPr>
        <b/>
        <sz val="11"/>
        <color rgb="FF000000"/>
        <rFont val="Arial"/>
        <family val="2"/>
      </rPr>
      <t>effetto pietra naturale, rettificato, antiscivolo (R9):60 × 120 cm, spessore 10,5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</si>
  <si>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pietra naturale, rettificato, antiscivolo (R9): 60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</si>
  <si>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cemento:120 × 120 cm, rettificato, spessore 10,5 mm</t>
    </r>
  </si>
  <si>
    <r>
      <rPr>
        <b/>
        <sz val="11"/>
        <color rgb="FF000000"/>
        <rFont val="Arial"/>
        <family val="2"/>
      </rPr>
      <t>Gres porcellanato colorato in massa</t>
    </r>
    <r>
      <rPr>
        <sz val="11"/>
        <color rgb="FF000000"/>
        <rFont val="Arial"/>
        <family val="2"/>
      </rPr>
      <t>, ottenuto per pressatura, in lastre di bassissimo spessore rinforzate sul lato inferiore con rete in fibra di vetro, per pavimentazioni ad intenso calpestio, rispondenti alla norma UNI EN 14411, classe reazione al fuoco A2 - s1, classe assorbimento acqua Bia-UGL, nei seguenti formati:effetto marmo naturale:</t>
    </r>
    <r>
      <rPr>
        <b/>
        <sz val="11"/>
        <color rgb="FF000000"/>
        <rFont val="Arial"/>
        <family val="2"/>
      </rPr>
      <t>100 × 100 cm, spessore 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</si>
  <si>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 antiscivolo (R9), spessore 9 mm: 90 × 90 cm</t>
    </r>
  </si>
  <si>
    <r>
      <rPr>
        <b/>
        <sz val="11"/>
        <color rgb="FF000000"/>
        <rFont val="Arial"/>
        <family val="2"/>
      </rPr>
      <t>Gres porcellanato colorato in massa in piastrelle rettificat</t>
    </r>
    <r>
      <rPr>
        <sz val="11"/>
        <color rgb="FF000000"/>
        <rFont val="Arial"/>
        <family val="2"/>
      </rPr>
      <t xml:space="preserve">e, ottenute per pressatura, per pavimentazioni ad intenso calpestio, rispondenti alla norma UNI EN 14411, classe assorbimento acqua BIa UGL:120 × 278 cm, </t>
    </r>
    <r>
      <rPr>
        <b/>
        <sz val="11"/>
        <color rgb="FF000000"/>
        <rFont val="Arial"/>
        <family val="2"/>
      </rPr>
      <t>spessore 6 mm:effetto marmo, superficie lucida</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</si>
  <si>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UGL:160 × 320 cm, </t>
    </r>
    <r>
      <rPr>
        <b/>
        <sz val="11"/>
        <color rgb="FF000000"/>
        <rFont val="Arial"/>
        <family val="2"/>
      </rPr>
      <t>spessore 6 mm:effetto marmo, superficie lucida</t>
    </r>
  </si>
  <si>
    <r>
      <rPr>
        <b/>
        <sz val="11"/>
        <color rgb="FF000000"/>
        <rFont val="Arial"/>
        <family val="2"/>
      </rPr>
      <t>Ceramica monocottura di pasta bianca</t>
    </r>
    <r>
      <rPr>
        <sz val="11"/>
        <color rgb="FF000000"/>
        <rFont val="Arial"/>
        <family val="2"/>
      </rPr>
      <t xml:space="preserve"> in lastre ottenute per pressatura, rettificate, per rivestimenti ad uso residenziale, grado di assorbimento acqua gruppo BIII L a norma UNI EN 14411,</t>
    </r>
    <r>
      <rPr>
        <b/>
        <sz val="11"/>
        <color rgb="FF000000"/>
        <rFont val="Arial"/>
        <family val="2"/>
      </rPr>
      <t xml:space="preserve"> delle dimensioni di 60 × 180 cm:effetto cemento, strutturato, spessore 9 mm</t>
    </r>
  </si>
  <si>
    <t xml:space="preserve">PAVIMENTI </t>
  </si>
  <si>
    <r>
      <rPr>
        <b/>
        <sz val="11"/>
        <color rgb="FF000000"/>
        <rFont val="Arial"/>
        <family val="2"/>
      </rPr>
      <t>Gres porcellanato colorato in massa</t>
    </r>
    <r>
      <rPr>
        <sz val="11"/>
        <color rgb="FF000000"/>
        <rFont val="Arial"/>
        <family val="2"/>
      </rPr>
      <t xml:space="preserve">, ottenuto per pressatura, in lastre di bassissimo spessore rinforzate sul lato inferiore con rete in fibra di vetro, per pavimentazioni ad intenso calpestio, rispondenti alla norma UNI EN 14411, classe reazione al fuoco A2 - s1, classe assorbimento acqua Bia-UGL, nei seguenti formati: </t>
    </r>
    <r>
      <rPr>
        <b/>
        <sz val="11"/>
        <color rgb="FF000000"/>
        <rFont val="Arial"/>
        <family val="2"/>
      </rPr>
      <t>effetto legno, spessore 5 mm:20 × 120 cm</t>
    </r>
  </si>
  <si>
    <r>
      <rPr>
        <b/>
        <sz val="11"/>
        <color rgb="FF000000"/>
        <rFont val="Arial"/>
        <family val="2"/>
      </rPr>
      <t>Vinilico multistrato</t>
    </r>
    <r>
      <rPr>
        <sz val="11"/>
        <color rgb="FF000000"/>
        <rFont val="Arial"/>
        <family val="2"/>
      </rPr>
      <t xml:space="preserve"> LVT in listoni delle dimensioni di 17 ÷ 20 × 100 ÷ 124 cm o piastre delle dimensioni di 36 × 69 cm con profili laterali ad incastro per posa senza collante, con uno strato d'usura in pvc puro trasparente che protegge uno strato a motivi stampatitrattato con fotoreticolazione UV e laser, resistenza all'abrasione secondo norma EN 660-2 inferiore a 2 mm3 (gruppo T), classe di resistenza allo scivolamento R10 secondo EN 13893 e conforme al test BCRA, classe di reazione al fuoco Bfl-s1 secondo norma EN ISO 13501, isolamento acustico non inferiore a 4 dB secondo EN ISO 717-2, antibatterico secondo ISO 22196, con certificazione EPD e Floorscore/Leed - strato di usura di spessore 0,30 mm, spessore totale 4,50 mm, peso non superiore a 4,10 kg/m2</t>
    </r>
  </si>
  <si>
    <r>
      <rPr>
        <b/>
        <sz val="11"/>
        <color rgb="FF000000"/>
        <rFont val="Arial"/>
        <family val="2"/>
      </rPr>
      <t>Pavimento in laminato antistatico</t>
    </r>
    <r>
      <rPr>
        <sz val="11"/>
        <color rgb="FF000000"/>
        <rFont val="Arial"/>
        <family val="2"/>
      </rPr>
      <t xml:space="preserve"> (&lt; 2 kV - UNI EN 1815 ed UNI EN 14041), con supporto di base in fibra di legno ad elevata densità (HDF) con superficie ad effetto legno, resistenza all'abrasione superficiale in classe AC4 (UNI EN 13329), rigonfiamento del bordo ≤ 18% (valore medio 11% UNI EN 13329), resistenza all'impatto in classe IC2 (UNI EN 13329), con incastro sui 4 lati tipo autocentrante per la posa del tipo flottante mediante incollaggio tra gli elementi, in doghe di spessore 9 mm, lunghezza 2.052 mm e larghezza 200 mm</t>
    </r>
  </si>
  <si>
    <t>Unilin sottofondo in schiuma senza barriera vapore</t>
  </si>
  <si>
    <r>
      <rPr>
        <b/>
        <sz val="11"/>
        <color rgb="FF000000"/>
        <rFont val="Arial"/>
        <family val="2"/>
      </rPr>
      <t xml:space="preserve">Tesserine di vetro per pavimenti a tinta unita </t>
    </r>
    <r>
      <rPr>
        <sz val="11"/>
        <color rgb="FF000000"/>
        <rFont val="Arial"/>
        <family val="2"/>
      </rPr>
      <t>delle dimensioni 2 × 2 cm, spessore 4 cm, premontate su fogli di carta dimensioni 30 × 30 cm:colori medi</t>
    </r>
  </si>
  <si>
    <r>
      <rPr>
        <b/>
        <sz val="11"/>
        <color rgb="FF000000"/>
        <rFont val="Arial"/>
        <family val="2"/>
      </rPr>
      <t>Moquette in quadrotte</t>
    </r>
    <r>
      <rPr>
        <sz val="11"/>
        <color rgb="FF000000"/>
        <rFont val="Arial"/>
        <family val="2"/>
      </rPr>
      <t xml:space="preserve"> autoposanti idonee alla posa senza collante, ad alta flessibilità, antistatiche, ignifughe di classe 1, dimensioni 50 × 50 cm: con supporto in composto termoplastico rinforzato con due strati di fibre di vetro e pretrattato con antibatterico:100% nylon, superficie velluto disegnato,
spessore 9,5 mm</t>
    </r>
  </si>
  <si>
    <t>PAVIMENTI PARQUET</t>
  </si>
  <si>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t>
    </r>
    <r>
      <rPr>
        <b/>
        <sz val="11"/>
        <color rgb="FF000000"/>
        <rFont val="Arial"/>
        <family val="2"/>
      </rPr>
      <t>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</si>
  <si>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10mm, 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</si>
  <si>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lunghezza</t>
    </r>
    <r>
      <rPr>
        <b/>
        <sz val="11"/>
        <color rgb="FF000000"/>
        <rFont val="Arial"/>
        <family val="2"/>
      </rPr>
      <t xml:space="preserve"> 1.200 ÷ 2.000 mm, larghezza 140 mm: teak</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</si>
  <si>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iroko</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</si>
  <si>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</si>
  <si>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wengè</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</si>
  <si>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t>
    </r>
    <r>
      <rPr>
        <b/>
        <sz val="11"/>
        <color rgb="FF000000"/>
        <rFont val="Arial"/>
        <family val="2"/>
      </rPr>
      <t>i:con superficie prelevigata, da finire in opera, spessore totale 14 mm, lunghezza 1.200 ÷ 2.000 mm, larghezza 140 mm: wengè</t>
    </r>
  </si>
  <si>
    <t>BATTISCOPA</t>
  </si>
  <si>
    <t>Zoccolino di gres porcellanato colorato in massa, superficie naturale o bocciardata:effetto cemento, 10 × 30 cm, spessore 8,5 mm con sguscia</t>
  </si>
  <si>
    <t>Zoccolino in legno 75 × 10 mm: essenza</t>
  </si>
  <si>
    <t>Zoccolino in legno 75 × 10 mm: multistrato bianco</t>
  </si>
  <si>
    <t>Zoccolino in legno 40 × 10 mm: multistrato bianco</t>
  </si>
  <si>
    <t>Zoccolino in legno 40 × 10 mm: essenza</t>
  </si>
  <si>
    <t>MATERIALI DI POSA</t>
  </si>
  <si>
    <t>Colle, stucchi distanziatori e cunei per la posa</t>
  </si>
  <si>
    <t>RUBINETTERIE</t>
  </si>
  <si>
    <t>Miscelatore monocomando cromato per lavabo con scarico automatico: normale</t>
  </si>
  <si>
    <t>Miscelatore monocomando cromato per bidet, erogazione a doccetta orientabile, completo di scarico, senza nipples e rosoni</t>
  </si>
  <si>
    <t>Miscelatore cromato monocomando da incasso per doccia/vasca: con corpo incassato, maniglia, cappuccio, rosone, doccia a sistema anticalcare, flessibile da 1500 mm e appendidoccia orientabile.</t>
  </si>
  <si>
    <t>Piatto doccia in acrilico colore bianco, scarico centrale, per installazione sopra pavimento, inclusa piletta sifonata con foro ∅ 90 mm: rettangolare: 120 × 80 × 4 cm o 100 × 80 × 4 cm</t>
  </si>
  <si>
    <t xml:space="preserve">Vasca in acrilico colore bianco, scarico centrale, per installazione ad incasso, inclusa piletta sifonata con foro ∅ 90 mm: rettangolare: 170 × 70 </t>
  </si>
  <si>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stampato spessore 3 mm: estensibilità 93 ÷ 101 cm</t>
  </si>
  <si>
    <t>Bidet in porcellana dura (vetrochina): monoforo con erogazione dalla rubinetteria, 36 × 54 × 39 cm</t>
  </si>
  <si>
    <t>Vaso igienico in porcellana vetrificata (vetrochina), esclusi accessori di fissaggio: scarico a pavimento</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</si>
  <si>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a pavimento</t>
  </si>
  <si>
    <t>Vaso igienico in porcellana vetrificata (vetrochina), esclusi accessori di fissaggio: sospeso con scarico a parete</t>
  </si>
  <si>
    <t>Bidet in porcellana dura (vetrochina): sospeso, monoforo con erogazione dalla rubinetteria. 35 × 57 × 32 cm</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</si>
  <si>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sospeso, con predisposta curva di allacciamento DN 90</t>
  </si>
  <si>
    <t>Placca di copertura per cassette d'incasso: con tasto di comando e interruzione del risciacquo, in materiale plastico opaca</t>
  </si>
  <si>
    <r>
      <t xml:space="preserve">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termostatizzabile, detentore e mensole di fissaggio:altezza 1.190 mm, larghezza 500 mm, resa termica 595 ± 5% W
</t>
    </r>
    <r>
      <rPr>
        <b/>
        <i/>
        <sz val="11"/>
        <color rgb="FF000000"/>
        <rFont val="Arial"/>
        <family val="2"/>
      </rPr>
      <t xml:space="preserve">NB: il prezzo è puramente indicativo in quanto andrà opportunamente dimensionato dal termotecnico </t>
    </r>
  </si>
  <si>
    <r>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attacchi ∅ 1", compreso il collegamento alle tubazioni di andata e ritorno dell'impianto: interasse 800 mm; altezza 880 mm; emiss. termica 185 ± 5% W ad elemento: a otto elementi                                                                          </t>
    </r>
    <r>
      <rPr>
        <b/>
        <i/>
        <sz val="11"/>
        <color theme="1"/>
        <rFont val="Arial"/>
        <family val="2"/>
      </rPr>
      <t xml:space="preserve">NB: il prezzo è puramente indicativo in quanto andrà opportunamente dimensionato dal termotecnico </t>
    </r>
  </si>
  <si>
    <t>TOTALE B "MATERIALI DI FINITURA" iva esclusa</t>
  </si>
  <si>
    <t>TOTALE B "MATERIALI DI FINITURA" iva 10% INCLUSA</t>
  </si>
  <si>
    <t>Si precisa che il presente documento è idoneo solo a titolo informativo e non costituisce ordinativo e i prezzi potrebbero subire variazioni a seconda del partner selezionato e degli adeguamenti dei listini
La scelta definitiva di materiali e finiture andrà finalizzata presso gli show room convenzionati con i nostri partners.</t>
  </si>
  <si>
    <t>PORTE</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</si>
  <si>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liscia:noce tanganika</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</si>
  <si>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liscia:laccata bianca</t>
  </si>
  <si>
    <t>Montaggio di porte interne a battente misure standard</t>
  </si>
  <si>
    <t>Porta in legno scorrevole interno muro con anta tamburata e bordi impiallacciati, spessore 8/11 mm, coprifili ad incastro in multistrato, serratura a gancio con nottolino e maniglia ad incasso, dimensioni 210 × 60 ÷ 90 cm:cieca liscia, anta singola:noce tanganika</t>
  </si>
  <si>
    <t>Porta in legno scorrevole interno muro con anta tamburata e bordi impiallacciati, spessore 8/11 mm, coprifili ad incastro in multistrato, serratura a gancio con nottolino e maniglia ad incasso, dimensioni 210 × 60 ÷ 90 cm:cieca liscia, anta singola:laccata bianca</t>
  </si>
  <si>
    <t>Montaggio di porte interne a scomparsa misure standard</t>
  </si>
  <si>
    <t xml:space="preserve">cad </t>
  </si>
  <si>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 d'acciaio dello spessore di 20/10 e profilo rinforzato dal lato della battuta, rivestita in gomma con truciolare di spessore 7 mm circa finitura liscia; completo di occhio magico, guarnizioni su entrambi i lati, serratura principale e di servizio, compasso di sicurezza, isolamento acustico 35 dB, delle seguenti misure:ad un'anta, luce netta 80 ÷ 90 × 210 cm:noce nazionale</t>
  </si>
  <si>
    <t>Rimozione vecchio controtelaio e ripristino delle parti ammalorate mediante stuccatura e verciatura delle parti interessate</t>
  </si>
  <si>
    <t>Montaggio di porta blindata mediante montaggio di nuovo controtelaio e assistenza muraria</t>
  </si>
  <si>
    <r>
      <t xml:space="preserve">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</si>
  <si>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</si>
  <si>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Tapparelle in PVC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</si>
  <si>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Tapparelle in alluminio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</si>
  <si>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Cassonetti coibentati in PVC colore a scelta. La voce comprende fornitura, trasporto e montaggio  con smontaggio dei vecchi cassonetti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</si>
  <si>
    <r>
      <t xml:space="preserve">Zanzariere a molla orizzontale e/o a catena e/o scorrevole e/o zanzariera a battente. La voce comprende fornitura, trasporto e montaggio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</si>
  <si>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rPr>
        <b/>
        <sz val="12"/>
        <color rgb="FF000000"/>
        <rFont val="Arial"/>
        <family val="2"/>
      </rPr>
      <t>TOTALE C "PORTE E SERRAMENTI"</t>
    </r>
    <r>
      <rPr>
        <b/>
        <sz val="14"/>
        <color rgb="FF000000"/>
        <rFont val="Arial"/>
        <family val="2"/>
      </rPr>
      <t xml:space="preserve"> </t>
    </r>
    <r>
      <rPr>
        <b/>
        <sz val="9"/>
        <color rgb="FF000000"/>
        <rFont val="Arial"/>
        <family val="2"/>
      </rPr>
      <t>iva esclusa</t>
    </r>
  </si>
  <si>
    <t>TOTALE C "PORTE E SERRAMENTI iva 10% INCLUSA</t>
  </si>
  <si>
    <t>Si precisa che il presente documento è idoneo solo a titolo informativo e non costituisce ordinativo e i prezzi potrebbero subire variazioni a seconda del partner selezionato e degli adeguamenti dei listini
La scelta definitiva di porte e serramenti andrà finalizzata presso gli show room convenzionati con i nostri partners. 
Per l'iter da intraprendere vedi allegato "informativa cliente" al contratto di appalto</t>
  </si>
  <si>
    <t>PRODOTTI</t>
  </si>
  <si>
    <t>Fornitura di condizionatore SAMSUNG CEBU monoplit</t>
  </si>
  <si>
    <t xml:space="preserve">Fornitura di condizionatore SAMSUNG CEBU dualsplit </t>
  </si>
  <si>
    <t xml:space="preserve">Fornitura di condizionatore SAMSUNG CEBU trialsplit </t>
  </si>
  <si>
    <t>Fornitura di condizionatore DAIKIN PREFERA monoplit</t>
  </si>
  <si>
    <t xml:space="preserve">Fornitura di condizionatore DAIKIN PREFERA dualsplit </t>
  </si>
  <si>
    <t xml:space="preserve">Fornitura di condizionatore DAIKIN PREFERA trialsplit </t>
  </si>
  <si>
    <t>Fornitura Caldaia MYNUTE RAIN GREEN E 25</t>
  </si>
  <si>
    <t>Fornitura scaldabagno TURBO 12L</t>
  </si>
  <si>
    <t>Fornitura di termosifoni tubolari NOVO 1520/500</t>
  </si>
  <si>
    <t xml:space="preserve">Fornitura scaldasalviette NOVO </t>
  </si>
  <si>
    <r>
      <rPr>
        <b/>
        <sz val="12"/>
        <color rgb="FF000000"/>
        <rFont val="Arial"/>
        <family val="2"/>
      </rPr>
      <t>TOTALE D "PRODOTTI"</t>
    </r>
    <r>
      <rPr>
        <b/>
        <sz val="14"/>
        <color rgb="FF000000"/>
        <rFont val="Arial"/>
        <family val="2"/>
      </rPr>
      <t xml:space="preserve"> </t>
    </r>
    <r>
      <rPr>
        <b/>
        <sz val="9"/>
        <color rgb="FF000000"/>
        <rFont val="Arial"/>
        <family val="2"/>
      </rPr>
      <t>iva esclusa</t>
    </r>
  </si>
  <si>
    <t>TOTALE D "PRODOTTI iva 10% INCLUSA</t>
  </si>
  <si>
    <t>Listini</t>
  </si>
  <si>
    <t>IMPORTO CAPITOLATO EDILE BHI</t>
  </si>
  <si>
    <t>IMPORTO EDILE ASSEVERAZIONE</t>
  </si>
  <si>
    <t>IMPORTO MATERIALI BHI</t>
  </si>
  <si>
    <t>IMPORTO MATERIALI ASSEVERAZIONE</t>
  </si>
  <si>
    <t>IMPORTO PORTEI BHI</t>
  </si>
  <si>
    <t>IMPORTO PORTE ASSEVERAZIONE</t>
  </si>
  <si>
    <t>SCHEDA CANTIERE:</t>
  </si>
  <si>
    <t>SERVIZIO-EDILE:</t>
  </si>
  <si>
    <t xml:space="preserve">CLIENTE: </t>
  </si>
  <si>
    <t>CANTIERE:</t>
  </si>
  <si>
    <t>ENTRATE</t>
  </si>
  <si>
    <t>IMPORTO firmato:</t>
  </si>
  <si>
    <t>data fattura</t>
  </si>
  <si>
    <t>n.</t>
  </si>
  <si>
    <t>ACCONTO</t>
  </si>
  <si>
    <t>SAL 1</t>
  </si>
  <si>
    <t>SAL2</t>
  </si>
  <si>
    <t>SCONTO IN FATTURA</t>
  </si>
  <si>
    <t>SALDO</t>
  </si>
  <si>
    <t>EXTRA CAPITOLATO</t>
  </si>
  <si>
    <t>IMPORTO</t>
  </si>
  <si>
    <t>n.1</t>
  </si>
  <si>
    <t>n.2</t>
  </si>
  <si>
    <t>n.3</t>
  </si>
  <si>
    <t>n.4</t>
  </si>
  <si>
    <t xml:space="preserve">ARCHITETTO: </t>
  </si>
  <si>
    <t>IMPORTO:</t>
  </si>
  <si>
    <t>USCITE</t>
  </si>
  <si>
    <t>N.</t>
  </si>
  <si>
    <t xml:space="preserve">SUB APPALTO EDILE: </t>
  </si>
  <si>
    <t>email@esempio.it</t>
  </si>
  <si>
    <t xml:space="preserve">SUB APPALTO ELETTRICO : </t>
  </si>
  <si>
    <t xml:space="preserve">SUB APPALTO IDRAULICO: </t>
  </si>
  <si>
    <t>Legenda</t>
  </si>
  <si>
    <t>fattura ricevuta o emessa da pagare</t>
  </si>
  <si>
    <t>fattura pagata o incassata</t>
  </si>
  <si>
    <t>fattura ok, in pagamento</t>
  </si>
  <si>
    <t>PREVENTIVI</t>
  </si>
  <si>
    <t>ENTRATA</t>
  </si>
  <si>
    <t>GUADAGNO</t>
  </si>
  <si>
    <t>arch.</t>
  </si>
  <si>
    <t>sub edile</t>
  </si>
  <si>
    <t>sub elettrico</t>
  </si>
  <si>
    <t>sub idraulico</t>
  </si>
  <si>
    <t>Preventivo 1</t>
  </si>
  <si>
    <t>Extra 1</t>
  </si>
  <si>
    <t>Extra 2</t>
  </si>
  <si>
    <t>FINITURE:</t>
  </si>
  <si>
    <t xml:space="preserve">FORNITORE: </t>
  </si>
  <si>
    <t>scadenza riba</t>
  </si>
  <si>
    <t>fattura ricevuta in firma</t>
  </si>
  <si>
    <t>fornitore</t>
  </si>
  <si>
    <t>DESCRIZIONE SINTETICA DELLE OPERE DA ESEGUIRE COMPUTATE DI SEGUITO</t>
  </si>
  <si>
    <t xml:space="preserve">TOTALE </t>
  </si>
  <si>
    <r>
      <t>calcolare così:
app.fino a 50 mq 560€</t>
    </r>
    <r>
      <rPr>
        <b/>
        <sz val="8"/>
        <color rgb="FFFF0000"/>
        <rFont val="Arial"/>
        <family val="2"/>
      </rPr>
      <t xml:space="preserve"> 500 €</t>
    </r>
    <r>
      <rPr>
        <b/>
        <sz val="8"/>
        <color theme="1"/>
        <rFont val="Arial"/>
        <family val="2"/>
      </rPr>
      <t xml:space="preserve">
app.fino a 80 mq 775€</t>
    </r>
    <r>
      <rPr>
        <b/>
        <sz val="8"/>
        <color rgb="FFFF0000"/>
        <rFont val="Arial"/>
        <family val="2"/>
      </rPr>
      <t xml:space="preserve"> 718€
</t>
    </r>
    <r>
      <rPr>
        <b/>
        <sz val="8"/>
        <color theme="1"/>
        <rFont val="Arial"/>
        <family val="2"/>
      </rPr>
      <t xml:space="preserve">app. fino a 100mq 890€ </t>
    </r>
    <r>
      <rPr>
        <b/>
        <sz val="8"/>
        <color rgb="FFFF0000"/>
        <rFont val="Arial"/>
        <family val="2"/>
      </rPr>
      <t xml:space="preserve"> 800€</t>
    </r>
    <r>
      <rPr>
        <b/>
        <sz val="8"/>
        <color theme="1"/>
        <rFont val="Arial"/>
        <family val="2"/>
      </rPr>
      <t xml:space="preserve">
app. oltre 120mq 905€ </t>
    </r>
    <r>
      <rPr>
        <b/>
        <sz val="8"/>
        <color rgb="FFFF0000"/>
        <rFont val="Arial"/>
        <family val="2"/>
      </rPr>
      <t xml:space="preserve"> 814,5€</t>
    </r>
  </si>
  <si>
    <t>da pagare iva INCLUSA</t>
  </si>
  <si>
    <t>A.12.1.</t>
  </si>
  <si>
    <r>
      <t xml:space="preserve">TOTALE VOCI "A" </t>
    </r>
    <r>
      <rPr>
        <b/>
        <i/>
        <sz val="12"/>
        <color rgb="FF000000"/>
        <rFont val="Arial"/>
        <family val="2"/>
      </rPr>
      <t>OPERE  EDILI iva 10%esclusa</t>
    </r>
    <r>
      <rPr>
        <b/>
        <sz val="12"/>
        <color rgb="FF000000"/>
        <rFont val="Arial"/>
        <family val="2"/>
      </rPr>
      <t xml:space="preserve"> </t>
    </r>
  </si>
  <si>
    <r>
      <t xml:space="preserve">TOTALE </t>
    </r>
    <r>
      <rPr>
        <b/>
        <i/>
        <sz val="11"/>
        <color rgb="FF000000"/>
        <rFont val="Arial"/>
        <family val="2"/>
      </rPr>
      <t>iva INCLUSA</t>
    </r>
  </si>
  <si>
    <t>SCONTO SUL TOTALE</t>
  </si>
  <si>
    <r>
      <t xml:space="preserve">TOTALE VOCI "A" </t>
    </r>
    <r>
      <rPr>
        <b/>
        <i/>
        <sz val="14"/>
        <color rgb="FF000000"/>
        <rFont val="Arial"/>
        <family val="2"/>
      </rPr>
      <t>OPERE  EDILI SCONTATE                       iva 10%esclusa</t>
    </r>
    <r>
      <rPr>
        <b/>
        <sz val="14"/>
        <color rgb="FF000000"/>
        <rFont val="Arial"/>
        <family val="2"/>
      </rPr>
      <t xml:space="preserve"> </t>
    </r>
  </si>
  <si>
    <r>
      <t xml:space="preserve">C-PORTE E SERRAMENTI </t>
    </r>
    <r>
      <rPr>
        <sz val="8"/>
        <color rgb="FF244061"/>
        <rFont val="Lucida Sans"/>
        <family val="2"/>
      </rPr>
      <t>iva inclusa 10%</t>
    </r>
  </si>
  <si>
    <t>FINANZIAMENTO</t>
  </si>
  <si>
    <t>n.RATE</t>
  </si>
  <si>
    <t>rata/mese</t>
  </si>
  <si>
    <t>Si informa che la divisione dei costi sopra elencati verrà sottoposta ad approvazione da parte del partner finanziario fiditalia</t>
  </si>
  <si>
    <t>PER TOTALE LAVORI TRA 25 E 50K</t>
  </si>
  <si>
    <t>PER TOTALE LAVORI TRA 50K E 100K</t>
  </si>
  <si>
    <r>
      <t xml:space="preserve">B-FINITURE </t>
    </r>
    <r>
      <rPr>
        <i/>
        <sz val="9"/>
        <color rgb="FF244061"/>
        <rFont val="Lucida Sans"/>
        <family val="2"/>
      </rPr>
      <t>iva inclusa 22%</t>
    </r>
  </si>
  <si>
    <t>Riepilogo</t>
  </si>
  <si>
    <t>Le voci di seguito riportate ed utilizzate nel computo, sono state redatte per l'individuazioni dei lavori da effettuare secondo progetto approvato. Le misure sono
calcolate da disegno, eventuali differenze sono da considerare tolleranze progettuali. Si richiede alle imprese di verificare le lavorazioni e segnalare eventuali dimenticanze/discrepanze e/o migliorie.</t>
  </si>
  <si>
    <t>Computo  | Elenco Lavorazioni</t>
  </si>
  <si>
    <t>Prezzo U.</t>
  </si>
  <si>
    <t>Allestimento area di cantiere con protezione zone di passaggio a mezzo teli nylon e/o cartoni al fine di eseguire i lavori in oggetto a perfetta regola d'arte, a norma ed in sicurezza.
Fornitura ed installazione cartello di cantiere, DPI lavoratori e POS.</t>
  </si>
  <si>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protezione. Compreso il carico da piano strada e trasporto ad impianti di stoccaggio, di recupero o a discarica.</t>
  </si>
  <si>
    <t>Rimozione di apparecchi idro-termo-sanitari, incluso lo smontaggio delle apparecchiature, rubinetterie e degli accessori e chiusura delle adduzioni con tappi. Compreso il carico da piano strada e trasporto ad impianti di stoccaggio, di recupero o a discarica</t>
  </si>
  <si>
    <r>
      <t xml:space="preserve">Movimentazione nell'area di cantiere di materiali di risulta e assistenza con personale per il carico di </t>
    </r>
    <r>
      <rPr>
        <b/>
        <u/>
        <sz val="11"/>
        <color theme="1"/>
        <rFont val="Arial"/>
        <family val="2"/>
      </rPr>
      <t>tutte</t>
    </r>
    <r>
      <rPr>
        <sz val="11"/>
        <color theme="1"/>
        <rFont val="Arial"/>
        <family val="2"/>
      </rPr>
      <t xml:space="preserve"> le forniture  (quali ad esempio pavimenti, rivestimenti, sanitari, ecc.) esclusi gli infissi.
Compresa l'immediata verifica degli stessi in riferimento alla corrispondenza di quantità e qualità riportate sui vari documenti di trasporto) per tutto il periodo di durata dei lavori. 
</t>
    </r>
    <r>
      <rPr>
        <b/>
        <u/>
        <sz val="11"/>
        <color theme="1"/>
        <rFont val="Arial"/>
        <family val="2"/>
      </rPr>
      <t>Si ritiene da verificare la possibilità di installare un argano e di parcheggiare il mezzo di trasporto ai piedi dell'argano</t>
    </r>
    <r>
      <rPr>
        <sz val="11"/>
        <color theme="1"/>
        <rFont val="Arial"/>
        <family val="2"/>
      </rPr>
      <t>.</t>
    </r>
  </si>
  <si>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speciale.</t>
  </si>
  <si>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stoccaggio, di recupero o a discarica.</t>
  </si>
  <si>
    <r>
      <t xml:space="preserve">Realizzazione </t>
    </r>
    <r>
      <rPr>
        <b/>
        <sz val="11"/>
        <color rgb="FF000000"/>
        <rFont val="Arial"/>
        <family val="2"/>
      </rPr>
      <t>Massetto premiscelato pronto all’impiego</t>
    </r>
    <r>
      <rPr>
        <sz val="11"/>
        <color rgb="FF000000"/>
        <rFont val="Arial"/>
        <family val="2"/>
      </rPr>
      <t xml:space="preserve">, tipo "Topcem®"  costituito da malta premiscelata per la realizzazione di sottofondi esterni ed interni ad asciugamento rapido e ritiro fortemente compensato, idonei alla posa di pavimentazioni in materiale ceramico, cotto e pietre naturali dopo 4 ore, di pavimenti vinilici, moquette, parquet dopo 48 ore, con resistenza caratteristica a compressione dopo 48 ore di 30 N/mmq ed una umidità residua non inferiore al 2,5%.  </t>
    </r>
  </si>
  <si>
    <t>Fornitura e posa in opera di isolamento interno acustico e/o termico per pareti in cartongesso con lana di vetro/lana di roccia con spessore da valutare.</t>
  </si>
  <si>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</si>
  <si>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canalizzazioni,griglie di areazione e termostati.</t>
  </si>
  <si>
    <t>Fornitura e posa di fondo di collegamento per rendere uniformi le pareti prima della pittura finale.</t>
  </si>
  <si>
    <t xml:space="preserve">Giorni Lavorativi </t>
  </si>
  <si>
    <t>L'allestimento di cantire deve essere sempre presente e dovrà essere calcolata nel seguente modo:
per appartamenti fino a 100 mq - 600</t>
  </si>
  <si>
    <t>SE NON SI RIFà TUTTO MASSETTO, A CORPO CIRCA 1800</t>
  </si>
  <si>
    <t>DA VERIFICARE</t>
  </si>
  <si>
    <t>CIRCA 2000-2500 APPP 100 MQ PIANO</t>
  </si>
  <si>
    <t>A CORPO SE POCHI METRI 200 EURO</t>
  </si>
  <si>
    <t xml:space="preserve">ASSISTENZA PER APPARTMENTO CIRCA 3500 EURO. VALUTARE SE SI RIFA MASSESSO SI ABBASSA ALTRIMENTI SI ALZA
</t>
  </si>
  <si>
    <t>Cliente caso 04</t>
  </si>
  <si>
    <t>Indirizzo</t>
  </si>
  <si>
    <t>Reggio Emilia (RE)</t>
  </si>
  <si>
    <t>Appartamento posto al primo piano di fabbricato plurifamiliare.
Ristrutturazione Totale</t>
  </si>
  <si>
    <t>Ripresa dell'intonaco sulle pareti dove è stato rimosso il rivestimento in ceramica e sulle tracce dei tramezzi demoliti e carta da parati</t>
  </si>
  <si>
    <t>Tinteggiatura di soffitti e pareti con pittura traspirante Bianca a due mani a coprire, esclusa la preparazione delle superfici con rasatura e stuccatura.</t>
  </si>
  <si>
    <t>m</t>
  </si>
  <si>
    <r>
      <t xml:space="preserve">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di stoccaggio, di recupero o a discarica. </t>
    </r>
    <r>
      <rPr>
        <b/>
        <sz val="11"/>
        <color rgb="FF000000"/>
        <rFont val="Arial"/>
        <family val="2"/>
      </rPr>
      <t>INTERNO + TERRAZZA</t>
    </r>
  </si>
  <si>
    <r>
      <t>Relizzazione</t>
    </r>
    <r>
      <rPr>
        <b/>
        <sz val="11"/>
        <color theme="1"/>
        <rFont val="Arial"/>
        <family val="2"/>
      </rPr>
      <t xml:space="preserve"> Massetto di sabbia e cemento</t>
    </r>
    <r>
      <rPr>
        <sz val="11"/>
        <color theme="1"/>
        <rFont val="Arial"/>
        <family val="2"/>
      </rPr>
      <t xml:space="preserve"> nelle proporzioni di kg 350 di cemento 32.5 per mc di sabbia dato in opera ben costipato e livellato per uno spessore finito pari a circa 8 cm. </t>
    </r>
    <r>
      <rPr>
        <b/>
        <sz val="11"/>
        <color theme="1"/>
        <rFont val="Arial"/>
        <family val="2"/>
      </rPr>
      <t>INTERNO + TERRAZZA</t>
    </r>
  </si>
  <si>
    <r>
      <t xml:space="preserve">Fornitura e posa in opera di strato impermeabile con malta cementizia bicomponente elastica (tipo Mapelastic). Per l’impermeabilizzazione di superfici interne ed esterne a contatto continuo con acqua. </t>
    </r>
    <r>
      <rPr>
        <b/>
        <sz val="11"/>
        <color rgb="FF000000"/>
        <rFont val="Arial"/>
        <family val="2"/>
      </rPr>
      <t>INTERNO  + TERRAZZA</t>
    </r>
  </si>
  <si>
    <t>Fornitura e Posa in opera e collaudo di caldaia Immergas compreso tutto il necessario per l'attivazione.</t>
  </si>
  <si>
    <t>Modifica dimensioni porte esistenti, compresa l'eventuale Fornitura e posa in opera di architrave sottile prefabbricato in calcestruzzo aerato autoclavato armato per rendere le porte a misura standard.</t>
  </si>
  <si>
    <r>
      <t xml:space="preserve">Posa in opera della pavimentazione con disegno a correre, compresa la stuccatura finale (restano escluse colle e stucchi, in quanto andranno scelte e stabilite in funzione del tipo di pavimentazione da posare). </t>
    </r>
    <r>
      <rPr>
        <b/>
        <sz val="11"/>
        <color rgb="FF000000"/>
        <rFont val="Arial"/>
        <family val="2"/>
      </rPr>
      <t>INTERNO CASA - EFFETTO LEGNO 20X120</t>
    </r>
  </si>
  <si>
    <r>
      <t xml:space="preserve">Posa in opera dei rivestimenti  e stuccatura finale (restano escluse colle e stucchi, in quanto andranno scelte e stabilite in funzione del tipo di pavimentazione da posare).  </t>
    </r>
    <r>
      <rPr>
        <b/>
        <sz val="11"/>
        <color rgb="FF000000"/>
        <rFont val="Arial"/>
        <family val="2"/>
      </rPr>
      <t>RIVESTIMENTI BAGNO GRANDE - FORMATO 120X120</t>
    </r>
  </si>
  <si>
    <r>
      <t xml:space="preserve">Posa in opera dei rivestimenti  e stuccatura finale (restano escluse colle e stucchi, in quanto andranno scelte e stabilite in funzione del tipo di pavimentazione da posare). </t>
    </r>
    <r>
      <rPr>
        <b/>
        <sz val="11"/>
        <color rgb="FF000000"/>
        <rFont val="Arial"/>
        <family val="2"/>
      </rPr>
      <t>RIVESTIMENTI BAGNO CAMERA - FORMATO 60X120</t>
    </r>
  </si>
  <si>
    <r>
      <t xml:space="preserve">Posa in opera della pavimentazione con disegno a correre, compresa la stuccatura finale (restano escluse colle e stucchi, in quanto andranno scelte e stabilite in funzione del tipo di pavimentazione da posare).   </t>
    </r>
    <r>
      <rPr>
        <b/>
        <sz val="11"/>
        <color rgb="FF000000"/>
        <rFont val="Arial"/>
        <family val="2"/>
      </rPr>
      <t>TERRAZZA - FORMATO 60X60</t>
    </r>
  </si>
  <si>
    <t>a fino a 15 elementi, per radiatore</t>
  </si>
  <si>
    <r>
      <t xml:space="preserve">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ad impianti di stoccaggio, di recupero o a discarica. </t>
    </r>
    <r>
      <rPr>
        <b/>
        <sz val="11"/>
        <color rgb="FF000000"/>
        <rFont val="Arial"/>
        <family val="2"/>
      </rPr>
      <t>SECONDO PROGETTO</t>
    </r>
  </si>
  <si>
    <r>
      <t xml:space="preserve">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 a discarica. </t>
    </r>
    <r>
      <rPr>
        <b/>
        <sz val="11"/>
        <color rgb="FF000000"/>
        <rFont val="Arial"/>
        <family val="2"/>
      </rPr>
      <t>BAGNI E CUCINA</t>
    </r>
  </si>
  <si>
    <r>
      <t xml:space="preserve">Rimozione di carta da parati fino a due strati di carta.Compreso l’accatastamento nei siti che verranno indicati dalla Direzione dei lavori nell'ambito del cantiere. Compreso il carico da piano strada e trasporto ad impianti di stoccaggio, di recupero o a discarica. </t>
    </r>
    <r>
      <rPr>
        <b/>
        <sz val="11"/>
        <color rgb="FF000000"/>
        <rFont val="Arial"/>
        <family val="2"/>
      </rPr>
      <t>SECONDO PROGETTO</t>
    </r>
  </si>
  <si>
    <r>
      <t xml:space="preserve">Realizzazione di </t>
    </r>
    <r>
      <rPr>
        <b/>
        <sz val="11"/>
        <color rgb="FF000000"/>
        <rFont val="Arial"/>
        <family val="2"/>
      </rPr>
      <t>muratura di mattoni forati</t>
    </r>
    <r>
      <rPr>
        <sz val="11"/>
        <color rgb="FF000000"/>
        <rFont val="Arial"/>
        <family val="2"/>
      </rPr>
      <t xml:space="preserve">, da 8/10 cm posti in foglio con malta, mediante fornitura trasposto e posa, compresi oneri e magisteri per l’esecuzione di ammorsature e quanto altro si renda necessario a realizzare l’opera a perfetta regola d’arte. </t>
    </r>
    <r>
      <rPr>
        <b/>
        <sz val="11"/>
        <color rgb="FF000000"/>
        <rFont val="Arial"/>
        <family val="2"/>
      </rPr>
      <t>SECONDO PROGETTO</t>
    </r>
  </si>
  <si>
    <r>
      <t xml:space="preserve">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blocchi di spessore 8 e 10 cm. </t>
    </r>
    <r>
      <rPr>
        <b/>
        <sz val="11"/>
        <color theme="1"/>
        <rFont val="Arial"/>
        <family val="2"/>
      </rPr>
      <t>SECONDO PROGETTO</t>
    </r>
  </si>
  <si>
    <r>
      <t xml:space="preserve">Realizzazione di quadratura di vano su tramezzi interni per la realizzazione di varchi o l'installazione, compresa la fornitura e posa di angolari metallici e successiva intonacatura. </t>
    </r>
    <r>
      <rPr>
        <b/>
        <sz val="11"/>
        <color theme="1"/>
        <rFont val="Arial"/>
        <family val="2"/>
      </rPr>
      <t>INGRESSO SALA, CUCINA E CAMERA</t>
    </r>
  </si>
  <si>
    <r>
      <t xml:space="preserve">Intonaco civile realizzato mediante messa a piombo e a squadro di pareti con l'ausilio di fasce guida. </t>
    </r>
    <r>
      <rPr>
        <b/>
        <sz val="11"/>
        <color rgb="FF000000"/>
        <rFont val="Arial"/>
        <family val="2"/>
      </rPr>
      <t>NUOVI MURI</t>
    </r>
  </si>
  <si>
    <r>
      <t xml:space="preserve">Realizzazione di </t>
    </r>
    <r>
      <rPr>
        <b/>
        <sz val="11"/>
        <color theme="1"/>
        <rFont val="Arial"/>
        <family val="2"/>
      </rPr>
      <t xml:space="preserve">nicchia </t>
    </r>
    <r>
      <rPr>
        <sz val="11"/>
        <color theme="1"/>
        <rFont val="Arial"/>
        <family val="2"/>
      </rPr>
      <t>porta oggetti nel tramezzo del bagno grande.</t>
    </r>
  </si>
  <si>
    <t>Chiusura di nicchie sotto le finestre, dove richiesto, comprensivo di fornitura e posa di isolamento lana di roccia.</t>
  </si>
  <si>
    <r>
      <t xml:space="preserve">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 </t>
    </r>
    <r>
      <rPr>
        <b/>
        <sz val="11"/>
        <color theme="1"/>
        <rFont val="Arial"/>
        <family val="2"/>
      </rPr>
      <t>ESCLUSI MOBILI E BOX DOCCIA</t>
    </r>
  </si>
  <si>
    <r>
      <t xml:space="preserve">Realizzazione di nuova rete idrosanitaria mediante nuovi punti acqua idrosanitari  per gli impianti di bagno e cucina, comprendente la messa in opera delle tubazioni per l'alimentazione e lo scarico dei vari apparecchi, opportunamente dimensionate e coibentate. </t>
    </r>
    <r>
      <rPr>
        <b/>
        <sz val="11"/>
        <color theme="1"/>
        <rFont val="Arial"/>
        <family val="2"/>
      </rPr>
      <t xml:space="preserve"> LAVELLO</t>
    </r>
    <r>
      <rPr>
        <sz val="11"/>
        <color theme="1"/>
        <rFont val="Arial"/>
        <family val="2"/>
      </rPr>
      <t xml:space="preserve"> </t>
    </r>
    <r>
      <rPr>
        <b/>
        <sz val="11"/>
        <color theme="1"/>
        <rFont val="Arial"/>
        <family val="2"/>
      </rPr>
      <t>CUCINA + 2 WC + 2 BIDET + 3 LAVABO + 2 DOCCE +  LAVATRICE</t>
    </r>
    <r>
      <rPr>
        <sz val="11"/>
        <color theme="1"/>
        <rFont val="Arial"/>
        <family val="2"/>
      </rPr>
      <t xml:space="preserve">
</t>
    </r>
  </si>
  <si>
    <r>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centralina/collettore e la caldaia sono da considerarsi come punti termoidraulici.</t>
    </r>
    <r>
      <rPr>
        <b/>
        <sz val="11"/>
        <color theme="1"/>
        <rFont val="Arial"/>
        <family val="2"/>
      </rPr>
      <t xml:space="preserve"> NUOVI PUNTI PER TERMO + CALDAIA</t>
    </r>
  </si>
  <si>
    <t>Fornitura e posa di 8 termosifoni, calcolando il dimensionamento necessariop per ogni ambiente.</t>
  </si>
  <si>
    <r>
      <t xml:space="preserve">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fornitura e il montaggio dei condizionatori. </t>
    </r>
    <r>
      <rPr>
        <b/>
        <sz val="11"/>
        <color theme="1"/>
        <rFont val="Arial"/>
        <family val="2"/>
      </rPr>
      <t>1 SPLIT PER CAMERA + 1 SALA + 1 CUCINA</t>
    </r>
  </si>
  <si>
    <t>Rasatura a gesso di intonaci civili, compresa la successiva scartavetratura ed ogni mezzo d'opera, con inserimento di rete e paraspigoli (ove necessario) per dare le superfici perfettamente pronte alla pitturazione.</t>
  </si>
  <si>
    <r>
      <t xml:space="preserve">Data : </t>
    </r>
    <r>
      <rPr>
        <b/>
        <sz val="12"/>
        <color rgb="FFFF0000"/>
        <rFont val="Calibri"/>
        <family val="2"/>
      </rPr>
      <t>29/05/2025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</si>
</sst>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 [$€-410]_-;\-* #,##0.00\ [$€-410]_-;_-* &quot;-&quot;??\ [$€-410]_-;_-@"/>
    <numFmt numFmtId="165" formatCode="#,##0.00\ &quot;€&quot;"/>
    <numFmt numFmtId="166" formatCode="&quot;€ &quot;#,##0.00"/>
    <numFmt numFmtId="167" formatCode="_-* #,##0.0_-;\-* #,##0.0_-;_-* &quot;-&quot;??_-;_-@"/>
    <numFmt numFmtId="168" formatCode="_-* #,##0.00\ &quot;€&quot;_-;\-* #,##0.00\ &quot;€&quot;_-;_-* &quot;-&quot;??\ &quot;€&quot;_-;_-@"/>
    <numFmt numFmtId="169" formatCode="_-* #,##0.00\ [$€-410]_-;\-* #,##0.00\ [$€-410]_-;_-* &quot;-&quot;??\ [$€-410]_-;_-@_-"/>
    <numFmt numFmtId="170" formatCode="_-* #,##0.0\ _€_-;\-* #,##0.0\ _€_-;_-* &quot;-&quot;?\ _€_-;_-@_-"/>
  </numFmts>
  <fonts count="85" x14ac:knownFonts="1">
    <font>
      <sz val="12"/>
      <color theme="1"/>
      <name val="Calibri"/>
      <scheme val="minor"/>
    </font>
    <font>
      <b/>
      <sz val="18"/>
      <color rgb="FF244061"/>
      <name val="Calibri"/>
      <family val="2"/>
    </font>
    <font>
      <sz val="12"/>
      <name val="Calibri"/>
      <family val="2"/>
    </font>
    <font>
      <b/>
      <sz val="16"/>
      <color theme="1"/>
      <name val="Arial"/>
      <family val="2"/>
    </font>
    <font>
      <sz val="18"/>
      <color theme="0"/>
      <name val="Calibri"/>
      <family val="2"/>
    </font>
    <font>
      <sz val="12"/>
      <color theme="1"/>
      <name val="Arial"/>
      <family val="2"/>
    </font>
    <font>
      <sz val="12"/>
      <color theme="1"/>
      <name val="Calibri"/>
      <family val="2"/>
    </font>
    <font>
      <b/>
      <sz val="11"/>
      <color theme="1"/>
      <name val="Calibri"/>
      <family val="2"/>
    </font>
    <font>
      <b/>
      <sz val="11"/>
      <color rgb="FF244061"/>
      <name val="Calibri"/>
      <family val="2"/>
    </font>
    <font>
      <b/>
      <sz val="10"/>
      <color theme="1"/>
      <name val="Arial"/>
      <family val="2"/>
    </font>
    <font>
      <sz val="11"/>
      <color theme="1"/>
      <name val="Calibri"/>
      <family val="2"/>
    </font>
    <font>
      <sz val="11"/>
      <color theme="1"/>
      <name val="Lucida Sans"/>
      <family val="2"/>
    </font>
    <font>
      <i/>
      <sz val="10"/>
      <color theme="1"/>
      <name val="Arial"/>
      <family val="2"/>
    </font>
    <font>
      <sz val="10"/>
      <color theme="1"/>
      <name val="Arial"/>
      <family val="2"/>
    </font>
    <font>
      <b/>
      <sz val="12"/>
      <color rgb="FF244061"/>
      <name val="Lucida Sans"/>
      <family val="2"/>
    </font>
    <font>
      <b/>
      <sz val="12"/>
      <color theme="1"/>
      <name val="Lucida Sans"/>
      <family val="2"/>
    </font>
    <font>
      <sz val="11"/>
      <color rgb="FF244061"/>
      <name val="Lucida Sans"/>
      <family val="2"/>
    </font>
    <font>
      <sz val="12"/>
      <color theme="1"/>
      <name val="Lucida Sans"/>
      <family val="2"/>
    </font>
    <font>
      <b/>
      <sz val="14"/>
      <color rgb="FF244061"/>
      <name val="Lucida Sans"/>
      <family val="2"/>
    </font>
    <font>
      <i/>
      <sz val="8"/>
      <color rgb="FF244061"/>
      <name val="Lucida Sans"/>
      <family val="2"/>
    </font>
    <font>
      <i/>
      <sz val="12"/>
      <color theme="1"/>
      <name val="Arial"/>
      <family val="2"/>
    </font>
    <font>
      <b/>
      <i/>
      <sz val="11"/>
      <color rgb="FF366092"/>
      <name val="Lucida Sans"/>
      <family val="2"/>
    </font>
    <font>
      <i/>
      <sz val="11"/>
      <color rgb="FF366092"/>
      <name val="Lucida Sans"/>
      <family val="2"/>
    </font>
    <font>
      <b/>
      <sz val="18"/>
      <color rgb="FF366092"/>
      <name val="Calibri"/>
      <family val="2"/>
    </font>
    <font>
      <b/>
      <sz val="11"/>
      <color rgb="FF366092"/>
      <name val="Calibri"/>
      <family val="2"/>
    </font>
    <font>
      <i/>
      <sz val="11"/>
      <color theme="1"/>
      <name val="Calibri"/>
      <family val="2"/>
    </font>
    <font>
      <b/>
      <sz val="12"/>
      <color rgb="FF366092"/>
      <name val="Arial"/>
      <family val="2"/>
    </font>
    <font>
      <b/>
      <sz val="12"/>
      <color rgb="FF000000"/>
      <name val="Arial"/>
      <family val="2"/>
    </font>
    <font>
      <b/>
      <sz val="20"/>
      <color theme="1"/>
      <name val="Arial"/>
      <family val="2"/>
    </font>
    <font>
      <b/>
      <sz val="16"/>
      <color rgb="FF244061"/>
      <name val="Arial"/>
      <family val="2"/>
    </font>
    <font>
      <sz val="11"/>
      <color rgb="FF000000"/>
      <name val="Arial"/>
      <family val="2"/>
    </font>
    <font>
      <sz val="11"/>
      <color theme="1"/>
      <name val="Arial"/>
      <family val="2"/>
    </font>
    <font>
      <b/>
      <sz val="14"/>
      <color theme="1"/>
      <name val="Arial"/>
      <family val="2"/>
    </font>
    <font>
      <i/>
      <sz val="9"/>
      <color rgb="FF366092"/>
      <name val="Arial"/>
      <family val="2"/>
    </font>
    <font>
      <sz val="12"/>
      <color rgb="FF366092"/>
      <name val="Arial"/>
      <family val="2"/>
    </font>
    <font>
      <b/>
      <sz val="11"/>
      <color rgb="FFFF0000"/>
      <name val="Calibri"/>
      <family val="2"/>
    </font>
    <font>
      <sz val="12"/>
      <color rgb="FF244061"/>
      <name val="Arial"/>
      <family val="2"/>
    </font>
    <font>
      <sz val="12"/>
      <color theme="1"/>
      <name val="Calibri"/>
      <family val="2"/>
      <scheme val="minor"/>
    </font>
    <font>
      <b/>
      <sz val="8"/>
      <color theme="1"/>
      <name val="Arial"/>
      <family val="2"/>
    </font>
    <font>
      <sz val="11"/>
      <color rgb="FF7F7F7F"/>
      <name val="Arial"/>
      <family val="2"/>
    </font>
    <font>
      <sz val="8"/>
      <color theme="1"/>
      <name val="Arial"/>
      <family val="2"/>
    </font>
    <font>
      <b/>
      <sz val="14"/>
      <color rgb="FF000000"/>
      <name val="Arial"/>
      <family val="2"/>
    </font>
    <font>
      <b/>
      <sz val="12"/>
      <color theme="1"/>
      <name val="Arial"/>
      <family val="2"/>
    </font>
    <font>
      <b/>
      <sz val="11"/>
      <color rgb="FF000000"/>
      <name val="Arial"/>
      <family val="2"/>
    </font>
    <font>
      <sz val="12"/>
      <color rgb="FF000000"/>
      <name val="Arial"/>
      <family val="2"/>
    </font>
    <font>
      <b/>
      <sz val="16"/>
      <color rgb="FF000000"/>
      <name val="Arial"/>
      <family val="2"/>
    </font>
    <font>
      <sz val="20"/>
      <color theme="1"/>
      <name val="Calibri"/>
      <family val="2"/>
    </font>
    <font>
      <b/>
      <sz val="18"/>
      <color theme="1"/>
      <name val="Calibri"/>
      <family val="2"/>
    </font>
    <font>
      <sz val="14"/>
      <color theme="1"/>
      <name val="Calibri"/>
      <family val="2"/>
    </font>
    <font>
      <u/>
      <sz val="11"/>
      <color theme="1"/>
      <name val="Calibri"/>
      <family val="2"/>
    </font>
    <font>
      <u/>
      <sz val="11"/>
      <color theme="10"/>
      <name val="Calibri"/>
      <family val="2"/>
    </font>
    <font>
      <sz val="10"/>
      <color theme="1"/>
      <name val="Calibri"/>
      <family val="2"/>
    </font>
    <font>
      <sz val="6"/>
      <color theme="1"/>
      <name val="Calibri"/>
      <family val="2"/>
    </font>
    <font>
      <sz val="9"/>
      <color theme="1"/>
      <name val="Calibri"/>
      <family val="2"/>
    </font>
    <font>
      <b/>
      <sz val="12"/>
      <color rgb="FFFF0000"/>
      <name val="Calibri"/>
      <family val="2"/>
    </font>
    <font>
      <b/>
      <sz val="12"/>
      <color theme="1"/>
      <name val="Calibri"/>
      <family val="2"/>
    </font>
    <font>
      <i/>
      <sz val="14"/>
      <color rgb="FF244061"/>
      <name val="Lucida Sans Unicode"/>
      <family val="2"/>
    </font>
    <font>
      <sz val="9"/>
      <color rgb="FF244061"/>
      <name val="Lucida Sans Unicode"/>
      <family val="2"/>
    </font>
    <font>
      <b/>
      <sz val="8"/>
      <color rgb="FFFF0000"/>
      <name val="Arial"/>
      <family val="2"/>
    </font>
    <font>
      <b/>
      <sz val="11"/>
      <color theme="1"/>
      <name val="Arial"/>
      <family val="2"/>
    </font>
    <font>
      <b/>
      <i/>
      <sz val="12"/>
      <color rgb="FF000000"/>
      <name val="Arial"/>
      <family val="2"/>
    </font>
    <font>
      <b/>
      <i/>
      <sz val="11"/>
      <color theme="1"/>
      <name val="Arial"/>
      <family val="2"/>
    </font>
    <font>
      <b/>
      <sz val="9"/>
      <color rgb="FF000000"/>
      <name val="Arial"/>
      <family val="2"/>
    </font>
    <font>
      <b/>
      <i/>
      <sz val="11"/>
      <color rgb="FF000000"/>
      <name val="Arial"/>
      <family val="2"/>
    </font>
    <font>
      <i/>
      <sz val="9"/>
      <color rgb="FF244061"/>
      <name val="Lucida Sans"/>
      <family val="2"/>
    </font>
    <font>
      <b/>
      <u/>
      <sz val="11"/>
      <color theme="1"/>
      <name val="Arial"/>
      <family val="2"/>
    </font>
    <font>
      <sz val="8"/>
      <color theme="1"/>
      <name val="Calibri"/>
      <family val="2"/>
      <scheme val="minor"/>
    </font>
    <font>
      <sz val="12"/>
      <color theme="1"/>
      <name val="Calibri"/>
      <family val="2"/>
      <scheme val="minor"/>
    </font>
    <font>
      <u/>
      <sz val="12"/>
      <color theme="10"/>
      <name val="Calibri"/>
      <family val="2"/>
      <scheme val="minor"/>
    </font>
    <font>
      <sz val="14"/>
      <name val="Calibri"/>
      <family val="2"/>
    </font>
    <font>
      <b/>
      <sz val="12"/>
      <color rgb="FFFF0000"/>
      <name val="Calibri"/>
      <family val="2"/>
      <scheme val="minor"/>
    </font>
    <font>
      <sz val="12"/>
      <name val="Calibri"/>
      <family val="2"/>
      <scheme val="minor"/>
    </font>
    <font>
      <b/>
      <sz val="12"/>
      <color theme="1"/>
      <name val="Calibri"/>
      <family val="2"/>
      <scheme val="minor"/>
    </font>
    <font>
      <b/>
      <sz val="12"/>
      <name val="Calibri"/>
      <family val="2"/>
      <scheme val="minor"/>
    </font>
    <font>
      <i/>
      <sz val="11"/>
      <color rgb="FF000000"/>
      <name val="Arial"/>
      <family val="2"/>
    </font>
    <font>
      <sz val="11"/>
      <color theme="1" tint="4.9989318521683403E-2"/>
      <name val="Arial"/>
      <family val="2"/>
    </font>
    <font>
      <sz val="14"/>
      <color theme="1"/>
      <name val="Calibri"/>
      <family val="2"/>
      <scheme val="minor"/>
    </font>
    <font>
      <b/>
      <i/>
      <sz val="14"/>
      <color rgb="FF000000"/>
      <name val="Arial"/>
      <family val="2"/>
    </font>
    <font>
      <sz val="14"/>
      <color theme="1"/>
      <name val="Arial"/>
      <family val="2"/>
    </font>
    <font>
      <b/>
      <sz val="14"/>
      <name val="Calibri"/>
      <family val="2"/>
      <scheme val="minor"/>
    </font>
    <font>
      <b/>
      <sz val="14"/>
      <color theme="1"/>
      <name val="Calibri"/>
      <family val="2"/>
      <scheme val="minor"/>
    </font>
    <font>
      <i/>
      <sz val="10"/>
      <color rgb="FF366092"/>
      <name val="Arial"/>
      <family val="2"/>
    </font>
    <font>
      <sz val="10"/>
      <name val="Calibri"/>
      <family val="2"/>
    </font>
    <font>
      <sz val="8"/>
      <color rgb="FF244061"/>
      <name val="Lucida Sans"/>
      <family val="2"/>
    </font>
    <font>
      <sz val="9"/>
      <color theme="1"/>
      <name val="Arial"/>
      <family val="2"/>
    </font>
  </fonts>
  <fills count="34">
    <fill>
      <patternFill patternType="none"/>
    </fill>
    <fill>
      <patternFill patternType="gray125"/>
    </fill>
    <fill>
      <patternFill patternType="solid">
        <fgColor rgb="FFD8D8D8"/>
        <bgColor rgb="FFD8D8D8"/>
      </patternFill>
    </fill>
    <fill>
      <patternFill patternType="solid">
        <fgColor rgb="FFFFFFCC"/>
        <bgColor rgb="FFFFFFCC"/>
      </patternFill>
    </fill>
    <fill>
      <patternFill patternType="solid">
        <fgColor rgb="FFFFFF00"/>
        <bgColor rgb="FFFFFF00"/>
      </patternFill>
    </fill>
    <fill>
      <patternFill patternType="solid">
        <fgColor rgb="FF95B3D7"/>
        <bgColor rgb="FF95B3D7"/>
      </patternFill>
    </fill>
    <fill>
      <patternFill patternType="solid">
        <fgColor rgb="FFFFC000"/>
        <bgColor rgb="FFFFC000"/>
      </patternFill>
    </fill>
    <fill>
      <patternFill patternType="solid">
        <fgColor rgb="FFF2F2F2"/>
        <bgColor rgb="FFF2F2F2"/>
      </patternFill>
    </fill>
    <fill>
      <patternFill patternType="solid">
        <fgColor rgb="FF366092"/>
        <bgColor rgb="FF366092"/>
      </patternFill>
    </fill>
    <fill>
      <patternFill patternType="solid">
        <fgColor rgb="FF00B0F0"/>
        <bgColor rgb="FF00B0F0"/>
      </patternFill>
    </fill>
    <fill>
      <patternFill patternType="solid">
        <fgColor rgb="FFFFFFFF"/>
        <bgColor rgb="FFFFFFFF"/>
      </patternFill>
    </fill>
    <fill>
      <patternFill patternType="solid">
        <fgColor rgb="FFE5E5E5"/>
        <bgColor rgb="FFE5E5E5"/>
      </patternFill>
    </fill>
    <fill>
      <patternFill patternType="solid">
        <fgColor rgb="FF656565"/>
        <bgColor rgb="FF656565"/>
      </patternFill>
    </fill>
    <fill>
      <patternFill patternType="solid">
        <fgColor rgb="FF92D050"/>
        <bgColor rgb="FF92D050"/>
      </patternFill>
    </fill>
    <fill>
      <patternFill patternType="solid">
        <fgColor theme="0"/>
        <bgColor theme="0"/>
      </patternFill>
    </fill>
    <fill>
      <patternFill patternType="solid">
        <fgColor rgb="FFCBCBCB"/>
        <bgColor rgb="FFCBCBCB"/>
      </patternFill>
    </fill>
    <fill>
      <patternFill patternType="solid">
        <fgColor rgb="FFFF5050"/>
        <bgColor rgb="FFFF5050"/>
      </patternFill>
    </fill>
    <fill>
      <patternFill patternType="solid">
        <fgColor rgb="FFFBD4B4"/>
        <bgColor rgb="FFFBD4B4"/>
      </patternFill>
    </fill>
    <fill>
      <patternFill patternType="solid">
        <fgColor theme="4"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0" tint="-0.34998626667073579"/>
        <bgColor rgb="FFD8D8D8"/>
      </patternFill>
    </fill>
    <fill>
      <patternFill patternType="solid">
        <fgColor rgb="FF00CC66"/>
        <bgColor rgb="FFD8D8D8"/>
      </patternFill>
    </fill>
    <fill>
      <patternFill patternType="solid">
        <fgColor theme="4" tint="-0.249977111117893"/>
        <bgColor rgb="FFFFC000"/>
      </patternFill>
    </fill>
    <fill>
      <patternFill patternType="solid">
        <fgColor theme="2" tint="-0.249977111117893"/>
        <bgColor indexed="64"/>
      </patternFill>
    </fill>
    <fill>
      <patternFill patternType="solid">
        <fgColor theme="1" tint="0.34998626667073579"/>
        <bgColor rgb="FF366092"/>
      </patternFill>
    </fill>
    <fill>
      <patternFill patternType="solid">
        <fgColor theme="1" tint="0.34998626667073579"/>
        <bgColor indexed="64"/>
      </patternFill>
    </fill>
    <fill>
      <patternFill patternType="solid">
        <fgColor theme="0" tint="-0.249977111117893"/>
        <bgColor rgb="FFFFC000"/>
      </patternFill>
    </fill>
    <fill>
      <patternFill patternType="solid">
        <fgColor theme="0" tint="-0.249977111117893"/>
        <bgColor indexed="64"/>
      </patternFill>
    </fill>
    <fill>
      <patternFill patternType="solid">
        <fgColor theme="0" tint="-0.34998626667073579"/>
        <bgColor rgb="FF95B3D7"/>
      </patternFill>
    </fill>
    <fill>
      <patternFill patternType="solid">
        <fgColor theme="0" tint="-0.14999847407452621"/>
        <bgColor rgb="FF366092"/>
      </patternFill>
    </fill>
    <fill>
      <patternFill patternType="solid">
        <fgColor theme="0" tint="-0.249977111117893"/>
        <bgColor rgb="FFFFFF00"/>
      </patternFill>
    </fill>
    <fill>
      <patternFill patternType="solid">
        <fgColor theme="6" tint="0.59999389629810485"/>
        <bgColor indexed="64"/>
      </patternFill>
    </fill>
  </fills>
  <borders count="65">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style="medium">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7" fillId="0" borderId="17"/>
    <xf numFmtId="0" fontId="68" fillId="0" borderId="17" applyNumberForma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37" fillId="0" borderId="17"/>
  </cellStyleXfs>
  <cellXfs count="514">
    <xf numFmtId="0" fontId="0" fillId="0" borderId="0" xfId="0"/>
    <xf numFmtId="0" fontId="4" fillId="0" borderId="0" xfId="0" applyFont="1" applyAlignment="1">
      <alignment vertical="center"/>
    </xf>
    <xf numFmtId="0" fontId="5" fillId="0" borderId="0" xfId="0" applyFont="1"/>
    <xf numFmtId="0" fontId="6" fillId="0" borderId="0" xfId="0" applyFont="1"/>
    <xf numFmtId="164" fontId="6" fillId="0" borderId="0" xfId="0" applyNumberFormat="1" applyFont="1" applyAlignment="1">
      <alignment horizontal="right"/>
    </xf>
    <xf numFmtId="0" fontId="7" fillId="0" borderId="0" xfId="0" applyFont="1" applyAlignment="1">
      <alignment horizontal="left"/>
    </xf>
    <xf numFmtId="0" fontId="6" fillId="0" borderId="0" xfId="0" applyFont="1" applyAlignment="1">
      <alignment horizontal="right"/>
    </xf>
    <xf numFmtId="0" fontId="6" fillId="0" borderId="0" xfId="0" applyFont="1" applyAlignment="1">
      <alignment horizontal="left"/>
    </xf>
    <xf numFmtId="0" fontId="7" fillId="0" borderId="0" xfId="0" applyFont="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9" fillId="0" borderId="3" xfId="0" applyFont="1" applyBorder="1" applyAlignment="1">
      <alignment vertical="top"/>
    </xf>
    <xf numFmtId="164" fontId="10" fillId="0" borderId="4" xfId="0" applyNumberFormat="1" applyFont="1" applyBorder="1" applyAlignment="1">
      <alignment horizontal="left" vertical="top"/>
    </xf>
    <xf numFmtId="164" fontId="11" fillId="0" borderId="0" xfId="0" applyNumberFormat="1" applyFont="1" applyAlignment="1">
      <alignment horizontal="right"/>
    </xf>
    <xf numFmtId="0" fontId="12" fillId="0" borderId="0" xfId="0" applyFont="1" applyAlignment="1">
      <alignment vertical="center"/>
    </xf>
    <xf numFmtId="0" fontId="12" fillId="0" borderId="5" xfId="0" applyFont="1" applyBorder="1" applyAlignment="1">
      <alignment vertical="center"/>
    </xf>
    <xf numFmtId="0" fontId="6" fillId="0" borderId="0" xfId="0" applyFont="1" applyAlignment="1">
      <alignment vertical="top" wrapText="1"/>
    </xf>
    <xf numFmtId="0" fontId="13" fillId="0" borderId="0" xfId="0" applyFont="1" applyAlignment="1">
      <alignment vertical="center"/>
    </xf>
    <xf numFmtId="0" fontId="13" fillId="0" borderId="5" xfId="0" applyFont="1" applyBorder="1" applyAlignment="1">
      <alignment vertical="center"/>
    </xf>
    <xf numFmtId="0" fontId="11" fillId="0" borderId="0" xfId="0" applyFont="1"/>
    <xf numFmtId="0" fontId="11" fillId="0" borderId="6" xfId="0" applyFont="1" applyBorder="1" applyAlignment="1">
      <alignment horizontal="center" vertical="center"/>
    </xf>
    <xf numFmtId="165" fontId="16" fillId="0" borderId="8" xfId="0" applyNumberFormat="1" applyFont="1" applyBorder="1" applyAlignment="1">
      <alignment horizontal="center" vertical="center"/>
    </xf>
    <xf numFmtId="0" fontId="16" fillId="0" borderId="0" xfId="0" applyFont="1"/>
    <xf numFmtId="0" fontId="11" fillId="0" borderId="7" xfId="0" applyFont="1" applyBorder="1"/>
    <xf numFmtId="0" fontId="11" fillId="3" borderId="8" xfId="0" applyFont="1" applyFill="1" applyBorder="1"/>
    <xf numFmtId="165" fontId="16" fillId="0" borderId="0" xfId="0" applyNumberFormat="1" applyFont="1" applyAlignment="1">
      <alignment horizontal="center" vertical="center"/>
    </xf>
    <xf numFmtId="0" fontId="16" fillId="2" borderId="1" xfId="0" applyFont="1" applyFill="1" applyBorder="1"/>
    <xf numFmtId="0" fontId="17" fillId="2" borderId="1" xfId="0" applyFont="1" applyFill="1" applyBorder="1"/>
    <xf numFmtId="165" fontId="11" fillId="0" borderId="0" xfId="0" applyNumberFormat="1" applyFont="1"/>
    <xf numFmtId="0" fontId="19" fillId="0" borderId="0" xfId="0" applyFont="1" applyAlignment="1">
      <alignment vertical="center" wrapText="1"/>
    </xf>
    <xf numFmtId="0" fontId="20" fillId="0" borderId="0" xfId="0" applyFont="1" applyAlignment="1">
      <alignment wrapText="1"/>
    </xf>
    <xf numFmtId="0" fontId="21" fillId="0" borderId="0" xfId="0" applyFont="1" applyAlignment="1">
      <alignment horizontal="left" vertical="center"/>
    </xf>
    <xf numFmtId="0" fontId="22" fillId="0" borderId="0" xfId="0" applyFont="1" applyAlignment="1">
      <alignment horizontal="left"/>
    </xf>
    <xf numFmtId="164" fontId="25" fillId="0" borderId="4" xfId="0" applyNumberFormat="1" applyFont="1" applyBorder="1" applyAlignment="1">
      <alignment horizontal="left" vertical="center"/>
    </xf>
    <xf numFmtId="0" fontId="9" fillId="0" borderId="0" xfId="0" applyFont="1" applyAlignment="1">
      <alignment vertical="top"/>
    </xf>
    <xf numFmtId="0" fontId="13" fillId="0" borderId="0" xfId="0" applyFont="1"/>
    <xf numFmtId="0" fontId="27" fillId="0" borderId="8" xfId="0" applyFont="1" applyBorder="1" applyAlignment="1">
      <alignment horizontal="center" vertical="center"/>
    </xf>
    <xf numFmtId="0" fontId="30" fillId="0" borderId="8" xfId="0" applyFont="1" applyBorder="1" applyAlignment="1">
      <alignment horizontal="left" vertical="center" wrapText="1"/>
    </xf>
    <xf numFmtId="0" fontId="30" fillId="0" borderId="8" xfId="0" applyFont="1" applyBorder="1" applyAlignment="1">
      <alignment horizontal="center" vertical="center" wrapText="1"/>
    </xf>
    <xf numFmtId="2" fontId="30" fillId="0" borderId="8" xfId="0" applyNumberFormat="1" applyFont="1" applyBorder="1" applyAlignment="1">
      <alignment horizontal="center" vertical="center" wrapText="1"/>
    </xf>
    <xf numFmtId="166" fontId="31" fillId="0" borderId="8" xfId="0" applyNumberFormat="1" applyFont="1" applyBorder="1" applyAlignment="1">
      <alignment horizontal="right" vertical="center" wrapText="1"/>
    </xf>
    <xf numFmtId="0" fontId="7" fillId="0" borderId="4" xfId="0" applyFont="1" applyBorder="1" applyAlignment="1">
      <alignment vertical="top"/>
    </xf>
    <xf numFmtId="0" fontId="36" fillId="2" borderId="1" xfId="0" applyFont="1" applyFill="1" applyBorder="1"/>
    <xf numFmtId="0" fontId="30" fillId="0" borderId="10" xfId="0" applyFont="1" applyBorder="1" applyAlignment="1">
      <alignment horizontal="center" vertical="center" wrapText="1"/>
    </xf>
    <xf numFmtId="2" fontId="30" fillId="0" borderId="10" xfId="0" applyNumberFormat="1" applyFont="1" applyBorder="1" applyAlignment="1">
      <alignment horizontal="center" vertical="center" wrapText="1"/>
    </xf>
    <xf numFmtId="0" fontId="31" fillId="0" borderId="8" xfId="0" applyFont="1" applyBorder="1" applyAlignment="1">
      <alignment vertical="top" wrapText="1"/>
    </xf>
    <xf numFmtId="0" fontId="30" fillId="0" borderId="12" xfId="0" applyFont="1" applyBorder="1" applyAlignment="1">
      <alignment horizontal="center" vertical="center" wrapText="1"/>
    </xf>
    <xf numFmtId="166" fontId="31" fillId="0" borderId="12" xfId="0" applyNumberFormat="1" applyFont="1" applyBorder="1" applyAlignment="1">
      <alignment horizontal="right" vertical="center" wrapText="1"/>
    </xf>
    <xf numFmtId="0" fontId="5" fillId="5" borderId="1" xfId="0" applyFont="1" applyFill="1" applyBorder="1"/>
    <xf numFmtId="0" fontId="6" fillId="5" borderId="1" xfId="0" applyFont="1" applyFill="1" applyBorder="1"/>
    <xf numFmtId="2" fontId="30" fillId="0" borderId="12" xfId="0" applyNumberFormat="1" applyFont="1" applyBorder="1" applyAlignment="1">
      <alignment horizontal="center" vertical="center" wrapText="1"/>
    </xf>
    <xf numFmtId="166" fontId="30" fillId="0" borderId="12" xfId="0" applyNumberFormat="1" applyFont="1" applyBorder="1" applyAlignment="1">
      <alignment horizontal="right" vertical="center" wrapText="1"/>
    </xf>
    <xf numFmtId="166" fontId="30" fillId="0" borderId="8" xfId="0" applyNumberFormat="1" applyFont="1" applyBorder="1" applyAlignment="1">
      <alignment horizontal="right" vertical="center" wrapText="1"/>
    </xf>
    <xf numFmtId="0" fontId="30" fillId="0" borderId="10" xfId="0" applyFont="1" applyBorder="1" applyAlignment="1">
      <alignment horizontal="left" vertical="center" wrapText="1"/>
    </xf>
    <xf numFmtId="0" fontId="30" fillId="0" borderId="12" xfId="0" applyFont="1" applyBorder="1" applyAlignment="1">
      <alignment horizontal="left" vertical="center" wrapText="1"/>
    </xf>
    <xf numFmtId="166" fontId="30" fillId="0" borderId="11" xfId="0" applyNumberFormat="1" applyFont="1" applyBorder="1" applyAlignment="1">
      <alignment horizontal="right" vertical="center" wrapText="1"/>
    </xf>
    <xf numFmtId="166" fontId="31" fillId="0" borderId="11" xfId="0" applyNumberFormat="1" applyFont="1" applyBorder="1" applyAlignment="1">
      <alignment horizontal="right" vertical="center" wrapText="1"/>
    </xf>
    <xf numFmtId="0" fontId="41" fillId="0" borderId="0" xfId="0" applyFont="1" applyAlignment="1">
      <alignment horizontal="right" vertical="center" wrapText="1"/>
    </xf>
    <xf numFmtId="166" fontId="32" fillId="0" borderId="0" xfId="0" applyNumberFormat="1" applyFont="1" applyAlignment="1">
      <alignment vertical="center" wrapText="1"/>
    </xf>
    <xf numFmtId="0" fontId="5" fillId="2" borderId="1" xfId="0" applyFont="1" applyFill="1" applyBorder="1"/>
    <xf numFmtId="0" fontId="7" fillId="2" borderId="9" xfId="0" applyFont="1" applyFill="1" applyBorder="1" applyAlignment="1">
      <alignment vertical="top"/>
    </xf>
    <xf numFmtId="0" fontId="7" fillId="2" borderId="1" xfId="0" applyFont="1" applyFill="1" applyBorder="1" applyAlignment="1">
      <alignment vertical="top"/>
    </xf>
    <xf numFmtId="166" fontId="27" fillId="0" borderId="8" xfId="0" applyNumberFormat="1" applyFont="1" applyBorder="1" applyAlignment="1">
      <alignment horizontal="center" vertical="center"/>
    </xf>
    <xf numFmtId="0" fontId="45" fillId="2" borderId="9" xfId="0" applyFont="1" applyFill="1" applyBorder="1" applyAlignment="1">
      <alignment vertical="center" wrapText="1"/>
    </xf>
    <xf numFmtId="0" fontId="5" fillId="2" borderId="9" xfId="0" applyFont="1" applyFill="1" applyBorder="1"/>
    <xf numFmtId="0" fontId="30" fillId="4" borderId="8" xfId="0" applyFont="1" applyFill="1" applyBorder="1" applyAlignment="1">
      <alignment horizontal="center" vertical="center" wrapText="1"/>
    </xf>
    <xf numFmtId="2" fontId="30" fillId="4" borderId="8" xfId="0" applyNumberFormat="1" applyFont="1" applyFill="1" applyBorder="1" applyAlignment="1">
      <alignment horizontal="center" vertical="center" wrapText="1"/>
    </xf>
    <xf numFmtId="0" fontId="30" fillId="10" borderId="8" xfId="0" applyFont="1" applyFill="1" applyBorder="1" applyAlignment="1">
      <alignment horizontal="center" vertical="center" wrapText="1"/>
    </xf>
    <xf numFmtId="2" fontId="30" fillId="10" borderId="8" xfId="0" applyNumberFormat="1" applyFont="1" applyFill="1" applyBorder="1" applyAlignment="1">
      <alignment horizontal="center" vertical="center" wrapText="1"/>
    </xf>
    <xf numFmtId="0" fontId="31" fillId="0" borderId="8" xfId="0" applyFont="1" applyBorder="1" applyAlignment="1">
      <alignment wrapText="1"/>
    </xf>
    <xf numFmtId="0" fontId="41" fillId="5" borderId="1" xfId="0" applyFont="1" applyFill="1" applyBorder="1" applyAlignment="1">
      <alignment vertical="center" wrapText="1"/>
    </xf>
    <xf numFmtId="0" fontId="5" fillId="0" borderId="0" xfId="0" applyFont="1" applyAlignment="1">
      <alignment wrapText="1"/>
    </xf>
    <xf numFmtId="0" fontId="10" fillId="0" borderId="0" xfId="0" applyFont="1"/>
    <xf numFmtId="168" fontId="46" fillId="5" borderId="6" xfId="0" applyNumberFormat="1" applyFont="1" applyFill="1" applyBorder="1"/>
    <xf numFmtId="168" fontId="46" fillId="4" borderId="6" xfId="0" applyNumberFormat="1" applyFont="1" applyFill="1" applyBorder="1"/>
    <xf numFmtId="0" fontId="7" fillId="12" borderId="20" xfId="0" applyFont="1" applyFill="1" applyBorder="1"/>
    <xf numFmtId="164" fontId="49" fillId="12" borderId="21" xfId="0" applyNumberFormat="1" applyFont="1" applyFill="1" applyBorder="1"/>
    <xf numFmtId="164" fontId="50" fillId="12" borderId="21" xfId="0" applyNumberFormat="1" applyFont="1" applyFill="1" applyBorder="1"/>
    <xf numFmtId="164" fontId="10" fillId="12" borderId="21" xfId="0" applyNumberFormat="1" applyFont="1" applyFill="1" applyBorder="1"/>
    <xf numFmtId="0" fontId="7" fillId="12" borderId="22" xfId="0" applyFont="1" applyFill="1" applyBorder="1"/>
    <xf numFmtId="164" fontId="10" fillId="12" borderId="23" xfId="0" applyNumberFormat="1" applyFont="1" applyFill="1" applyBorder="1"/>
    <xf numFmtId="0" fontId="10" fillId="12" borderId="24" xfId="0" applyFont="1" applyFill="1" applyBorder="1"/>
    <xf numFmtId="0" fontId="7" fillId="0" borderId="0" xfId="0" applyFont="1"/>
    <xf numFmtId="164" fontId="7" fillId="0" borderId="0" xfId="0" applyNumberFormat="1" applyFont="1"/>
    <xf numFmtId="0" fontId="51" fillId="0" borderId="0" xfId="0" applyFont="1"/>
    <xf numFmtId="164" fontId="51" fillId="14" borderId="17" xfId="0" applyNumberFormat="1" applyFont="1" applyFill="1" applyBorder="1"/>
    <xf numFmtId="14" fontId="51" fillId="0" borderId="0" xfId="0" applyNumberFormat="1" applyFont="1"/>
    <xf numFmtId="164" fontId="10" fillId="0" borderId="0" xfId="0" applyNumberFormat="1" applyFont="1"/>
    <xf numFmtId="0" fontId="52" fillId="0" borderId="0" xfId="0" applyFont="1"/>
    <xf numFmtId="164" fontId="51" fillId="0" borderId="0" xfId="0" applyNumberFormat="1" applyFont="1"/>
    <xf numFmtId="0" fontId="7" fillId="15" borderId="20" xfId="0" applyFont="1" applyFill="1" applyBorder="1"/>
    <xf numFmtId="0" fontId="10" fillId="15" borderId="21" xfId="0" applyFont="1" applyFill="1" applyBorder="1"/>
    <xf numFmtId="0" fontId="10" fillId="15" borderId="27" xfId="0" applyFont="1" applyFill="1" applyBorder="1"/>
    <xf numFmtId="0" fontId="10" fillId="15" borderId="17" xfId="0" applyFont="1" applyFill="1" applyBorder="1"/>
    <xf numFmtId="0" fontId="10" fillId="15" borderId="22" xfId="0" applyFont="1" applyFill="1" applyBorder="1"/>
    <xf numFmtId="0" fontId="10" fillId="15" borderId="23" xfId="0" applyFont="1" applyFill="1" applyBorder="1"/>
    <xf numFmtId="0" fontId="10" fillId="15" borderId="24" xfId="0" applyFont="1" applyFill="1" applyBorder="1"/>
    <xf numFmtId="0" fontId="7" fillId="0" borderId="28" xfId="0" applyFont="1" applyBorder="1"/>
    <xf numFmtId="0" fontId="7" fillId="0" borderId="5" xfId="0" applyFont="1" applyBorder="1" applyAlignment="1">
      <alignment horizontal="center"/>
    </xf>
    <xf numFmtId="164" fontId="10" fillId="14" borderId="17" xfId="0" applyNumberFormat="1" applyFont="1" applyFill="1" applyBorder="1"/>
    <xf numFmtId="14" fontId="10" fillId="0" borderId="0" xfId="0" applyNumberFormat="1" applyFont="1"/>
    <xf numFmtId="0" fontId="10" fillId="0" borderId="5" xfId="0" applyFont="1" applyBorder="1"/>
    <xf numFmtId="0" fontId="10" fillId="0" borderId="29" xfId="0" applyFont="1" applyBorder="1"/>
    <xf numFmtId="0" fontId="10" fillId="0" borderId="5" xfId="0" applyFont="1" applyBorder="1" applyAlignment="1">
      <alignment horizontal="center"/>
    </xf>
    <xf numFmtId="14" fontId="51" fillId="0" borderId="5" xfId="0" applyNumberFormat="1" applyFont="1" applyBorder="1"/>
    <xf numFmtId="0" fontId="10" fillId="0" borderId="30" xfId="0" applyFont="1" applyBorder="1"/>
    <xf numFmtId="0" fontId="10" fillId="0" borderId="18" xfId="0" applyFont="1" applyBorder="1"/>
    <xf numFmtId="164" fontId="10" fillId="13" borderId="8" xfId="0" applyNumberFormat="1" applyFont="1" applyFill="1" applyBorder="1"/>
    <xf numFmtId="164" fontId="10" fillId="16" borderId="8" xfId="0" applyNumberFormat="1" applyFont="1" applyFill="1" applyBorder="1"/>
    <xf numFmtId="164" fontId="10" fillId="9" borderId="8" xfId="0" applyNumberFormat="1" applyFont="1" applyFill="1" applyBorder="1"/>
    <xf numFmtId="164" fontId="7" fillId="0" borderId="8" xfId="0" applyNumberFormat="1" applyFont="1" applyBorder="1"/>
    <xf numFmtId="0" fontId="10" fillId="12" borderId="21" xfId="0" applyFont="1" applyFill="1" applyBorder="1"/>
    <xf numFmtId="0" fontId="10" fillId="12" borderId="23" xfId="0" applyFont="1" applyFill="1" applyBorder="1"/>
    <xf numFmtId="0" fontId="10" fillId="0" borderId="0" xfId="0" applyFont="1" applyAlignment="1">
      <alignment horizontal="center"/>
    </xf>
    <xf numFmtId="164" fontId="10" fillId="13" borderId="17" xfId="0" applyNumberFormat="1" applyFont="1" applyFill="1" applyBorder="1"/>
    <xf numFmtId="14" fontId="10" fillId="0" borderId="0" xfId="0" applyNumberFormat="1" applyFont="1" applyAlignment="1">
      <alignment horizontal="center"/>
    </xf>
    <xf numFmtId="0" fontId="10" fillId="0" borderId="32" xfId="0" applyFont="1" applyBorder="1"/>
    <xf numFmtId="0" fontId="10" fillId="0" borderId="33" xfId="0" applyFont="1" applyBorder="1"/>
    <xf numFmtId="164" fontId="53" fillId="0" borderId="0" xfId="0" applyNumberFormat="1" applyFont="1"/>
    <xf numFmtId="0" fontId="10" fillId="0" borderId="34" xfId="0" applyFont="1" applyBorder="1"/>
    <xf numFmtId="9" fontId="5" fillId="9" borderId="6" xfId="0" applyNumberFormat="1" applyFont="1" applyFill="1" applyBorder="1"/>
    <xf numFmtId="165" fontId="16" fillId="0" borderId="17" xfId="0" applyNumberFormat="1" applyFont="1" applyBorder="1"/>
    <xf numFmtId="0" fontId="11" fillId="0" borderId="17" xfId="0" applyFont="1" applyBorder="1"/>
    <xf numFmtId="165" fontId="16" fillId="0" borderId="17" xfId="0" applyNumberFormat="1" applyFont="1" applyBorder="1" applyAlignment="1">
      <alignment horizontal="center" vertical="center"/>
    </xf>
    <xf numFmtId="0" fontId="11" fillId="3" borderId="17" xfId="0" applyFont="1" applyFill="1" applyBorder="1"/>
    <xf numFmtId="0" fontId="5" fillId="18" borderId="36" xfId="0" applyFont="1" applyFill="1" applyBorder="1"/>
    <xf numFmtId="0" fontId="11" fillId="0" borderId="15" xfId="0" applyFont="1" applyBorder="1"/>
    <xf numFmtId="0" fontId="16" fillId="0" borderId="17" xfId="0" applyFont="1" applyBorder="1"/>
    <xf numFmtId="0" fontId="43" fillId="20" borderId="38" xfId="0" applyFont="1" applyFill="1" applyBorder="1" applyAlignment="1">
      <alignment horizontal="left" vertical="center" wrapText="1"/>
    </xf>
    <xf numFmtId="0" fontId="43" fillId="20" borderId="39" xfId="0" applyFont="1" applyFill="1" applyBorder="1" applyAlignment="1">
      <alignment horizontal="center" vertical="center" wrapText="1"/>
    </xf>
    <xf numFmtId="2" fontId="43" fillId="20" borderId="39" xfId="0" applyNumberFormat="1" applyFont="1" applyFill="1" applyBorder="1" applyAlignment="1">
      <alignment horizontal="center" vertical="center" wrapText="1"/>
    </xf>
    <xf numFmtId="166" fontId="43" fillId="20" borderId="39" xfId="0" applyNumberFormat="1" applyFont="1" applyFill="1" applyBorder="1" applyAlignment="1">
      <alignment horizontal="right" vertical="center" wrapText="1"/>
    </xf>
    <xf numFmtId="166" fontId="59" fillId="20" borderId="40" xfId="0" applyNumberFormat="1" applyFont="1" applyFill="1" applyBorder="1" applyAlignment="1">
      <alignment horizontal="right" vertical="center" wrapText="1"/>
    </xf>
    <xf numFmtId="0" fontId="11" fillId="0" borderId="17" xfId="1" applyFont="1"/>
    <xf numFmtId="0" fontId="67" fillId="0" borderId="17" xfId="1"/>
    <xf numFmtId="0" fontId="18" fillId="23" borderId="9" xfId="1" applyFont="1" applyFill="1" applyBorder="1"/>
    <xf numFmtId="0" fontId="11" fillId="23" borderId="1" xfId="1" applyFont="1" applyFill="1" applyBorder="1"/>
    <xf numFmtId="169" fontId="18" fillId="23" borderId="7" xfId="1" applyNumberFormat="1" applyFont="1" applyFill="1" applyBorder="1"/>
    <xf numFmtId="0" fontId="23" fillId="2" borderId="9" xfId="0" applyFont="1" applyFill="1" applyBorder="1" applyAlignment="1" applyProtection="1">
      <alignment vertical="center" wrapText="1"/>
      <protection locked="0"/>
    </xf>
    <xf numFmtId="0" fontId="34" fillId="2" borderId="1" xfId="0" applyFont="1" applyFill="1" applyBorder="1" applyProtection="1">
      <protection locked="0"/>
    </xf>
    <xf numFmtId="0" fontId="3" fillId="2" borderId="1" xfId="0"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0" fillId="0" borderId="0" xfId="0" applyProtection="1">
      <protection locked="0"/>
    </xf>
    <xf numFmtId="0" fontId="5" fillId="0" borderId="0" xfId="0" applyFont="1" applyProtection="1">
      <protection locked="0"/>
    </xf>
    <xf numFmtId="0" fontId="6" fillId="0" borderId="0" xfId="0" applyFont="1" applyProtection="1">
      <protection locked="0"/>
    </xf>
    <xf numFmtId="164" fontId="6" fillId="0" borderId="0" xfId="0" applyNumberFormat="1" applyFont="1" applyAlignment="1" applyProtection="1">
      <alignment horizontal="right"/>
      <protection locked="0"/>
    </xf>
    <xf numFmtId="0" fontId="7" fillId="0" borderId="0" xfId="0" applyFont="1" applyAlignment="1" applyProtection="1">
      <alignment vertical="top"/>
      <protection locked="0"/>
    </xf>
    <xf numFmtId="0" fontId="7" fillId="0" borderId="4" xfId="0" applyFont="1" applyBorder="1" applyAlignment="1" applyProtection="1">
      <alignment vertical="top"/>
      <protection locked="0"/>
    </xf>
    <xf numFmtId="0" fontId="9" fillId="0" borderId="0" xfId="0" applyFont="1" applyAlignment="1" applyProtection="1">
      <alignment vertical="top"/>
      <protection locked="0"/>
    </xf>
    <xf numFmtId="0" fontId="9" fillId="0" borderId="5" xfId="0" applyFont="1" applyBorder="1" applyAlignment="1" applyProtection="1">
      <alignment vertical="top"/>
      <protection locked="0"/>
    </xf>
    <xf numFmtId="164" fontId="25" fillId="0" borderId="4" xfId="0" applyNumberFormat="1" applyFont="1" applyBorder="1" applyAlignment="1" applyProtection="1">
      <alignment horizontal="left" vertical="center"/>
      <protection locked="0"/>
    </xf>
    <xf numFmtId="0" fontId="12" fillId="0" borderId="0" xfId="0" applyFont="1" applyAlignment="1" applyProtection="1">
      <alignment vertical="center"/>
      <protection locked="0"/>
    </xf>
    <xf numFmtId="0" fontId="12" fillId="0" borderId="5" xfId="0" applyFont="1" applyBorder="1" applyAlignment="1" applyProtection="1">
      <alignment vertical="center"/>
      <protection locked="0"/>
    </xf>
    <xf numFmtId="0" fontId="35" fillId="0" borderId="0" xfId="0" applyFont="1" applyAlignment="1" applyProtection="1">
      <alignment vertical="top"/>
      <protection locked="0"/>
    </xf>
    <xf numFmtId="164" fontId="25" fillId="0" borderId="4" xfId="0" applyNumberFormat="1" applyFont="1" applyBorder="1" applyAlignment="1" applyProtection="1">
      <alignment vertical="center"/>
      <protection locked="0"/>
    </xf>
    <xf numFmtId="164" fontId="6" fillId="0" borderId="4" xfId="0" applyNumberFormat="1"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5" xfId="0" applyFont="1" applyBorder="1" applyAlignment="1" applyProtection="1">
      <alignment vertical="center"/>
      <protection locked="0"/>
    </xf>
    <xf numFmtId="0" fontId="5" fillId="0" borderId="8" xfId="0" applyFont="1" applyBorder="1" applyProtection="1">
      <protection locked="0"/>
    </xf>
    <xf numFmtId="0" fontId="26" fillId="0" borderId="8" xfId="0" applyFont="1" applyBorder="1" applyAlignment="1" applyProtection="1">
      <alignment horizontal="center" vertical="center"/>
      <protection locked="0"/>
    </xf>
    <xf numFmtId="166" fontId="26" fillId="0" borderId="8" xfId="0" applyNumberFormat="1" applyFont="1" applyBorder="1" applyAlignment="1" applyProtection="1">
      <alignment horizontal="center" vertical="center"/>
      <protection locked="0"/>
    </xf>
    <xf numFmtId="0" fontId="28" fillId="2" borderId="8" xfId="0" applyFont="1" applyFill="1" applyBorder="1" applyAlignment="1" applyProtection="1">
      <alignment horizontal="center" vertical="center"/>
      <protection locked="0"/>
    </xf>
    <xf numFmtId="0" fontId="36" fillId="2" borderId="1" xfId="0" applyFont="1" applyFill="1" applyBorder="1" applyProtection="1">
      <protection locked="0"/>
    </xf>
    <xf numFmtId="0" fontId="37" fillId="0" borderId="0" xfId="0" applyFont="1" applyProtection="1">
      <protection locked="0"/>
    </xf>
    <xf numFmtId="0" fontId="5" fillId="0" borderId="8" xfId="0" applyFont="1" applyBorder="1" applyAlignment="1" applyProtection="1">
      <alignment horizontal="center" vertical="center"/>
      <protection locked="0"/>
    </xf>
    <xf numFmtId="0" fontId="31" fillId="0" borderId="10" xfId="0" applyFont="1" applyBorder="1" applyAlignment="1" applyProtection="1">
      <alignment vertical="top" wrapText="1"/>
      <protection locked="0"/>
    </xf>
    <xf numFmtId="0" fontId="30" fillId="0" borderId="10" xfId="0" applyFont="1" applyBorder="1" applyAlignment="1" applyProtection="1">
      <alignment horizontal="center" vertical="center" wrapText="1"/>
      <protection locked="0"/>
    </xf>
    <xf numFmtId="2" fontId="30" fillId="0" borderId="10" xfId="0" applyNumberFormat="1" applyFont="1" applyBorder="1" applyAlignment="1" applyProtection="1">
      <alignment horizontal="center" vertical="center" wrapText="1"/>
      <protection locked="0"/>
    </xf>
    <xf numFmtId="166" fontId="31" fillId="0" borderId="10" xfId="0" applyNumberFormat="1" applyFont="1" applyBorder="1" applyAlignment="1" applyProtection="1">
      <alignment horizontal="right" vertical="center" wrapText="1"/>
      <protection locked="0"/>
    </xf>
    <xf numFmtId="166" fontId="31" fillId="0" borderId="8" xfId="0" applyNumberFormat="1" applyFont="1" applyBorder="1" applyAlignment="1" applyProtection="1">
      <alignment horizontal="right" vertical="center" wrapText="1"/>
      <protection locked="0"/>
    </xf>
    <xf numFmtId="9" fontId="38" fillId="4" borderId="8" xfId="0" applyNumberFormat="1" applyFont="1" applyFill="1" applyBorder="1" applyAlignment="1" applyProtection="1">
      <alignment vertical="top" wrapText="1"/>
      <protection locked="0"/>
    </xf>
    <xf numFmtId="0" fontId="5" fillId="0" borderId="2" xfId="0" applyFont="1" applyBorder="1" applyAlignment="1" applyProtection="1">
      <alignment horizontal="center" vertical="center"/>
      <protection locked="0"/>
    </xf>
    <xf numFmtId="0" fontId="31" fillId="0" borderId="8" xfId="0" applyFont="1" applyBorder="1" applyAlignment="1" applyProtection="1">
      <alignment vertical="top" wrapText="1"/>
      <protection locked="0"/>
    </xf>
    <xf numFmtId="0" fontId="30" fillId="0" borderId="8" xfId="0" applyFont="1" applyBorder="1" applyAlignment="1" applyProtection="1">
      <alignment horizontal="center" vertical="center" wrapText="1"/>
      <protection locked="0"/>
    </xf>
    <xf numFmtId="2" fontId="30" fillId="0" borderId="8" xfId="0" applyNumberFormat="1" applyFont="1" applyBorder="1" applyAlignment="1" applyProtection="1">
      <alignment horizontal="center" vertical="center" wrapText="1"/>
      <protection locked="0"/>
    </xf>
    <xf numFmtId="9" fontId="40" fillId="0" borderId="0" xfId="0" applyNumberFormat="1" applyFont="1" applyAlignment="1" applyProtection="1">
      <alignment wrapText="1"/>
      <protection locked="0"/>
    </xf>
    <xf numFmtId="0" fontId="5" fillId="0" borderId="12" xfId="0" applyFont="1" applyBorder="1" applyAlignment="1" applyProtection="1">
      <alignment horizontal="center" vertical="center"/>
      <protection locked="0"/>
    </xf>
    <xf numFmtId="0" fontId="31" fillId="0" borderId="12" xfId="0" applyFont="1" applyBorder="1" applyAlignment="1" applyProtection="1">
      <alignment vertical="top" wrapText="1"/>
      <protection locked="0"/>
    </xf>
    <xf numFmtId="0" fontId="30" fillId="0" borderId="12" xfId="0" applyFont="1" applyBorder="1" applyAlignment="1" applyProtection="1">
      <alignment horizontal="center" vertical="center" wrapText="1"/>
      <protection locked="0"/>
    </xf>
    <xf numFmtId="166" fontId="31" fillId="0" borderId="12" xfId="0" applyNumberFormat="1" applyFont="1" applyBorder="1" applyAlignment="1" applyProtection="1">
      <alignment horizontal="right" vertical="center" wrapText="1"/>
      <protection locked="0"/>
    </xf>
    <xf numFmtId="2" fontId="30" fillId="0" borderId="2" xfId="0" applyNumberFormat="1" applyFont="1" applyBorder="1" applyAlignment="1" applyProtection="1">
      <alignment horizontal="center" vertical="center" wrapText="1"/>
      <protection locked="0"/>
    </xf>
    <xf numFmtId="0" fontId="5" fillId="0" borderId="12" xfId="0" applyFont="1" applyBorder="1" applyAlignment="1" applyProtection="1">
      <alignment vertical="center"/>
      <protection locked="0"/>
    </xf>
    <xf numFmtId="0" fontId="32" fillId="5" borderId="8" xfId="0" applyFont="1" applyFill="1" applyBorder="1" applyAlignment="1" applyProtection="1">
      <alignment horizontal="center" vertical="center"/>
      <protection locked="0"/>
    </xf>
    <xf numFmtId="0" fontId="5" fillId="5" borderId="1" xfId="0" applyFont="1" applyFill="1" applyBorder="1" applyProtection="1">
      <protection locked="0"/>
    </xf>
    <xf numFmtId="0" fontId="6" fillId="5" borderId="1" xfId="0" applyFont="1" applyFill="1" applyBorder="1" applyProtection="1">
      <protection locked="0"/>
    </xf>
    <xf numFmtId="0" fontId="36" fillId="2" borderId="13" xfId="0" applyFont="1" applyFill="1" applyBorder="1" applyProtection="1">
      <protection locked="0"/>
    </xf>
    <xf numFmtId="2" fontId="30" fillId="0" borderId="12" xfId="0" applyNumberFormat="1" applyFont="1" applyBorder="1" applyAlignment="1" applyProtection="1">
      <alignment horizontal="center" vertical="center" wrapText="1"/>
      <protection locked="0"/>
    </xf>
    <xf numFmtId="166" fontId="30" fillId="0" borderId="12" xfId="0" applyNumberFormat="1" applyFont="1" applyBorder="1" applyAlignment="1" applyProtection="1">
      <alignment horizontal="right" vertical="center" wrapText="1"/>
      <protection locked="0"/>
    </xf>
    <xf numFmtId="166" fontId="30" fillId="0" borderId="8" xfId="0" applyNumberFormat="1" applyFont="1" applyBorder="1" applyAlignment="1" applyProtection="1">
      <alignment horizontal="right" vertical="center" wrapText="1"/>
      <protection locked="0"/>
    </xf>
    <xf numFmtId="0" fontId="5" fillId="0" borderId="10" xfId="0" applyFont="1" applyBorder="1" applyAlignment="1" applyProtection="1">
      <alignment horizontal="center" vertical="center"/>
      <protection locked="0"/>
    </xf>
    <xf numFmtId="166" fontId="30" fillId="0" borderId="10" xfId="0" applyNumberFormat="1" applyFont="1" applyBorder="1" applyAlignment="1" applyProtection="1">
      <alignment horizontal="right" vertical="center" wrapText="1"/>
      <protection locked="0"/>
    </xf>
    <xf numFmtId="0" fontId="5" fillId="0" borderId="8"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30" fillId="0" borderId="10"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0" fontId="5" fillId="0" borderId="12" xfId="0" applyFont="1" applyBorder="1" applyAlignment="1" applyProtection="1">
      <alignment horizontal="center" vertical="center" wrapText="1"/>
      <protection locked="0"/>
    </xf>
    <xf numFmtId="0" fontId="30" fillId="0" borderId="12" xfId="0" applyFont="1" applyBorder="1" applyAlignment="1" applyProtection="1">
      <alignment horizontal="left" vertical="top" wrapText="1"/>
      <protection locked="0"/>
    </xf>
    <xf numFmtId="0" fontId="5" fillId="0" borderId="11" xfId="0" applyFont="1" applyBorder="1" applyAlignment="1" applyProtection="1">
      <alignment horizontal="center" vertical="center" wrapText="1"/>
      <protection locked="0"/>
    </xf>
    <xf numFmtId="0" fontId="31" fillId="0" borderId="0" xfId="0" applyFont="1" applyAlignment="1" applyProtection="1">
      <alignment vertical="top" wrapText="1"/>
      <protection locked="0"/>
    </xf>
    <xf numFmtId="0" fontId="30" fillId="0" borderId="11" xfId="0" applyFont="1" applyBorder="1" applyAlignment="1" applyProtection="1">
      <alignment horizontal="center" vertical="center" wrapText="1"/>
      <protection locked="0"/>
    </xf>
    <xf numFmtId="2" fontId="30" fillId="0" borderId="11" xfId="0" applyNumberFormat="1" applyFont="1" applyBorder="1" applyAlignment="1" applyProtection="1">
      <alignment horizontal="center" vertical="center" wrapText="1"/>
      <protection locked="0"/>
    </xf>
    <xf numFmtId="166" fontId="30" fillId="0" borderId="11" xfId="0" applyNumberFormat="1" applyFont="1" applyBorder="1" applyAlignment="1" applyProtection="1">
      <alignment horizontal="right" vertical="center" wrapText="1"/>
      <protection locked="0"/>
    </xf>
    <xf numFmtId="166" fontId="31" fillId="0" borderId="11" xfId="0" applyNumberFormat="1" applyFont="1" applyBorder="1" applyAlignment="1" applyProtection="1">
      <alignment horizontal="right" vertical="center" wrapText="1"/>
      <protection locked="0"/>
    </xf>
    <xf numFmtId="0" fontId="31" fillId="0" borderId="11" xfId="0" applyFont="1" applyBorder="1" applyAlignment="1" applyProtection="1">
      <alignment vertical="top" wrapText="1"/>
      <protection locked="0"/>
    </xf>
    <xf numFmtId="0" fontId="5" fillId="0" borderId="2" xfId="0" applyFont="1" applyBorder="1" applyAlignment="1" applyProtection="1">
      <alignment horizontal="center" vertical="center" wrapText="1"/>
      <protection locked="0"/>
    </xf>
    <xf numFmtId="0" fontId="31" fillId="0" borderId="10" xfId="0" applyFont="1" applyBorder="1" applyAlignment="1" applyProtection="1">
      <alignment horizontal="left" vertical="top" wrapText="1"/>
      <protection locked="0"/>
    </xf>
    <xf numFmtId="0" fontId="30" fillId="0" borderId="3" xfId="0" applyFont="1" applyBorder="1" applyAlignment="1" applyProtection="1">
      <alignment horizontal="center" vertical="center" wrapText="1"/>
      <protection locked="0"/>
    </xf>
    <xf numFmtId="0" fontId="31" fillId="0" borderId="12" xfId="0" applyFont="1" applyBorder="1" applyAlignment="1" applyProtection="1">
      <alignment horizontal="left" vertical="top" wrapText="1"/>
      <protection locked="0"/>
    </xf>
    <xf numFmtId="0" fontId="5" fillId="5" borderId="15" xfId="0" applyFont="1" applyFill="1" applyBorder="1" applyProtection="1">
      <protection locked="0"/>
    </xf>
    <xf numFmtId="0" fontId="5" fillId="5" borderId="16" xfId="0" applyFont="1" applyFill="1" applyBorder="1" applyProtection="1">
      <protection locked="0"/>
    </xf>
    <xf numFmtId="0" fontId="6" fillId="5" borderId="15" xfId="0" applyFont="1" applyFill="1" applyBorder="1" applyProtection="1">
      <protection locked="0"/>
    </xf>
    <xf numFmtId="166" fontId="32" fillId="5" borderId="16" xfId="0" applyNumberFormat="1" applyFont="1" applyFill="1" applyBorder="1" applyAlignment="1" applyProtection="1">
      <alignment vertical="center" wrapText="1"/>
      <protection locked="0"/>
    </xf>
    <xf numFmtId="0" fontId="36" fillId="2" borderId="15" xfId="0" applyFont="1" applyFill="1" applyBorder="1" applyProtection="1">
      <protection locked="0"/>
    </xf>
    <xf numFmtId="0" fontId="36" fillId="2" borderId="16" xfId="0" applyFont="1" applyFill="1" applyBorder="1" applyProtection="1">
      <protection locked="0"/>
    </xf>
    <xf numFmtId="0" fontId="32" fillId="0" borderId="2" xfId="0" applyFont="1" applyBorder="1" applyAlignment="1" applyProtection="1">
      <alignment vertical="center"/>
      <protection locked="0"/>
    </xf>
    <xf numFmtId="0" fontId="32" fillId="0" borderId="3" xfId="0" applyFont="1" applyBorder="1" applyAlignment="1" applyProtection="1">
      <alignment vertical="center"/>
      <protection locked="0"/>
    </xf>
    <xf numFmtId="0" fontId="42" fillId="4" borderId="8" xfId="0" applyFont="1" applyFill="1" applyBorder="1" applyAlignment="1" applyProtection="1">
      <alignment horizontal="center" vertical="center"/>
      <protection locked="0"/>
    </xf>
    <xf numFmtId="0" fontId="29" fillId="2" borderId="1" xfId="0" applyFont="1" applyFill="1" applyBorder="1" applyAlignment="1" applyProtection="1">
      <alignment vertical="center" wrapText="1"/>
      <protection locked="0"/>
    </xf>
    <xf numFmtId="9" fontId="38" fillId="4" borderId="8" xfId="0" applyNumberFormat="1" applyFont="1" applyFill="1" applyBorder="1" applyAlignment="1" applyProtection="1">
      <alignment horizontal="left" vertical="top" wrapText="1"/>
      <protection locked="0"/>
    </xf>
    <xf numFmtId="0" fontId="42" fillId="7" borderId="8" xfId="0" applyFont="1" applyFill="1" applyBorder="1" applyAlignment="1" applyProtection="1">
      <alignment horizontal="center" vertical="center"/>
      <protection locked="0"/>
    </xf>
    <xf numFmtId="0" fontId="43" fillId="7" borderId="9" xfId="0" applyFont="1" applyFill="1" applyBorder="1" applyAlignment="1" applyProtection="1">
      <alignment vertical="center" wrapText="1"/>
      <protection locked="0"/>
    </xf>
    <xf numFmtId="0" fontId="43" fillId="7" borderId="8" xfId="0" applyFont="1" applyFill="1" applyBorder="1" applyAlignment="1" applyProtection="1">
      <alignment vertical="center" wrapText="1"/>
      <protection locked="0"/>
    </xf>
    <xf numFmtId="166" fontId="32" fillId="5" borderId="13" xfId="0" applyNumberFormat="1" applyFont="1" applyFill="1" applyBorder="1" applyAlignment="1" applyProtection="1">
      <alignment vertical="center" wrapText="1"/>
      <protection locked="0"/>
    </xf>
    <xf numFmtId="0" fontId="30" fillId="0" borderId="7" xfId="0" applyFont="1" applyBorder="1" applyAlignment="1" applyProtection="1">
      <alignment horizontal="center" vertical="center" wrapText="1"/>
      <protection locked="0"/>
    </xf>
    <xf numFmtId="166" fontId="31" fillId="0" borderId="41" xfId="0" applyNumberFormat="1" applyFont="1" applyBorder="1" applyAlignment="1" applyProtection="1">
      <alignment horizontal="right" vertical="center" wrapText="1"/>
      <protection locked="0"/>
    </xf>
    <xf numFmtId="9" fontId="38" fillId="4" borderId="7" xfId="0" applyNumberFormat="1" applyFont="1" applyFill="1" applyBorder="1" applyAlignment="1" applyProtection="1">
      <alignment vertical="top" wrapText="1"/>
      <protection locked="0"/>
    </xf>
    <xf numFmtId="0" fontId="32" fillId="8" borderId="8" xfId="0" applyFont="1" applyFill="1" applyBorder="1" applyAlignment="1" applyProtection="1">
      <alignment horizontal="center" vertical="center"/>
      <protection locked="0"/>
    </xf>
    <xf numFmtId="0" fontId="5" fillId="8" borderId="1" xfId="0" applyFont="1" applyFill="1" applyBorder="1" applyProtection="1">
      <protection locked="0"/>
    </xf>
    <xf numFmtId="0" fontId="6" fillId="8" borderId="1" xfId="0" applyFont="1" applyFill="1" applyBorder="1" applyProtection="1">
      <protection locked="0"/>
    </xf>
    <xf numFmtId="9" fontId="30" fillId="0" borderId="8" xfId="0" applyNumberFormat="1" applyFont="1" applyBorder="1" applyAlignment="1" applyProtection="1">
      <alignment horizontal="center" vertical="center" wrapText="1"/>
      <protection locked="0"/>
    </xf>
    <xf numFmtId="0" fontId="31" fillId="0" borderId="8" xfId="0" applyFont="1" applyBorder="1" applyAlignment="1" applyProtection="1">
      <alignment horizontal="left" vertical="top" wrapText="1"/>
      <protection locked="0"/>
    </xf>
    <xf numFmtId="0" fontId="44" fillId="0" borderId="8"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41" fillId="0" borderId="0" xfId="0" applyFont="1" applyAlignment="1" applyProtection="1">
      <alignment horizontal="right" vertical="center" wrapText="1"/>
      <protection locked="0"/>
    </xf>
    <xf numFmtId="166" fontId="32" fillId="0" borderId="0" xfId="0" applyNumberFormat="1" applyFont="1" applyAlignment="1" applyProtection="1">
      <alignment vertical="center" wrapText="1"/>
      <protection locked="0"/>
    </xf>
    <xf numFmtId="0" fontId="5" fillId="0" borderId="0" xfId="0" applyFont="1" applyProtection="1">
      <protection hidden="1"/>
    </xf>
    <xf numFmtId="0" fontId="0" fillId="0" borderId="0" xfId="0" applyProtection="1">
      <protection hidden="1"/>
    </xf>
    <xf numFmtId="0" fontId="70" fillId="0" borderId="0" xfId="0" applyFont="1" applyProtection="1">
      <protection hidden="1"/>
    </xf>
    <xf numFmtId="0" fontId="7" fillId="0" borderId="0" xfId="0" applyFont="1" applyAlignment="1" applyProtection="1">
      <alignment vertical="top"/>
      <protection hidden="1"/>
    </xf>
    <xf numFmtId="0" fontId="27" fillId="0" borderId="8" xfId="0" applyFont="1" applyBorder="1" applyAlignment="1" applyProtection="1">
      <alignment horizontal="center" vertical="center"/>
      <protection hidden="1"/>
    </xf>
    <xf numFmtId="0" fontId="55" fillId="2" borderId="8" xfId="0" applyFont="1" applyFill="1" applyBorder="1" applyAlignment="1" applyProtection="1">
      <alignment horizontal="center"/>
      <protection hidden="1"/>
    </xf>
    <xf numFmtId="0" fontId="55" fillId="2" borderId="9" xfId="0" applyFont="1" applyFill="1" applyBorder="1" applyAlignment="1" applyProtection="1">
      <alignment horizontal="center"/>
      <protection hidden="1"/>
    </xf>
    <xf numFmtId="0" fontId="37" fillId="25" borderId="42" xfId="0" applyFont="1" applyFill="1" applyBorder="1" applyProtection="1">
      <protection hidden="1"/>
    </xf>
    <xf numFmtId="9" fontId="0" fillId="0" borderId="0" xfId="4" applyFont="1" applyAlignment="1" applyProtection="1">
      <protection hidden="1"/>
    </xf>
    <xf numFmtId="166" fontId="39" fillId="0" borderId="8" xfId="0" applyNumberFormat="1" applyFont="1" applyBorder="1" applyAlignment="1" applyProtection="1">
      <alignment horizontal="right" vertical="center" wrapText="1"/>
      <protection hidden="1"/>
    </xf>
    <xf numFmtId="44" fontId="71" fillId="0" borderId="0" xfId="3" applyFont="1" applyAlignment="1" applyProtection="1">
      <protection hidden="1"/>
    </xf>
    <xf numFmtId="44" fontId="71" fillId="0" borderId="0" xfId="0" applyNumberFormat="1" applyFont="1" applyProtection="1">
      <protection hidden="1"/>
    </xf>
    <xf numFmtId="9" fontId="71" fillId="0" borderId="0" xfId="4" applyFont="1" applyAlignment="1" applyProtection="1">
      <protection hidden="1"/>
    </xf>
    <xf numFmtId="166" fontId="39" fillId="0" borderId="10" xfId="0" applyNumberFormat="1" applyFont="1" applyBorder="1" applyAlignment="1" applyProtection="1">
      <alignment horizontal="right" vertical="center" wrapText="1"/>
      <protection hidden="1"/>
    </xf>
    <xf numFmtId="0" fontId="71" fillId="0" borderId="0" xfId="4" applyNumberFormat="1" applyFont="1" applyAlignment="1" applyProtection="1">
      <protection hidden="1"/>
    </xf>
    <xf numFmtId="166" fontId="32" fillId="6" borderId="35" xfId="0" applyNumberFormat="1" applyFont="1" applyFill="1" applyBorder="1" applyAlignment="1" applyProtection="1">
      <alignment vertical="center" wrapText="1"/>
      <protection hidden="1"/>
    </xf>
    <xf numFmtId="166" fontId="32" fillId="6" borderId="42" xfId="0" applyNumberFormat="1" applyFont="1" applyFill="1" applyBorder="1" applyAlignment="1" applyProtection="1">
      <alignment vertical="center" wrapText="1"/>
      <protection hidden="1"/>
    </xf>
    <xf numFmtId="44" fontId="72" fillId="25" borderId="42" xfId="3" applyFont="1" applyFill="1" applyBorder="1" applyAlignment="1" applyProtection="1">
      <protection hidden="1"/>
    </xf>
    <xf numFmtId="9" fontId="0" fillId="25" borderId="42" xfId="4" applyFont="1" applyFill="1" applyBorder="1" applyAlignment="1" applyProtection="1">
      <protection hidden="1"/>
    </xf>
    <xf numFmtId="44" fontId="0" fillId="0" borderId="0" xfId="3" applyFont="1" applyAlignment="1" applyProtection="1">
      <protection hidden="1"/>
    </xf>
    <xf numFmtId="44" fontId="0" fillId="0" borderId="0" xfId="0" applyNumberFormat="1" applyProtection="1">
      <protection hidden="1"/>
    </xf>
    <xf numFmtId="0" fontId="6" fillId="2" borderId="8" xfId="0" applyFont="1" applyFill="1" applyBorder="1" applyProtection="1">
      <protection hidden="1"/>
    </xf>
    <xf numFmtId="170" fontId="37" fillId="19" borderId="42" xfId="0" applyNumberFormat="1" applyFont="1" applyFill="1" applyBorder="1" applyProtection="1">
      <protection hidden="1"/>
    </xf>
    <xf numFmtId="9" fontId="72" fillId="25" borderId="42" xfId="4" applyFont="1" applyFill="1" applyBorder="1" applyAlignment="1" applyProtection="1">
      <protection hidden="1"/>
    </xf>
    <xf numFmtId="0" fontId="6" fillId="7" borderId="8" xfId="0" applyFont="1" applyFill="1" applyBorder="1" applyProtection="1">
      <protection hidden="1"/>
    </xf>
    <xf numFmtId="0" fontId="6" fillId="0" borderId="8" xfId="0" applyFont="1" applyBorder="1" applyProtection="1">
      <protection hidden="1"/>
    </xf>
    <xf numFmtId="44" fontId="73" fillId="27" borderId="0" xfId="0" applyNumberFormat="1" applyFont="1" applyFill="1" applyProtection="1">
      <protection hidden="1"/>
    </xf>
    <xf numFmtId="9" fontId="72" fillId="27" borderId="42" xfId="4" applyFont="1" applyFill="1" applyBorder="1" applyAlignment="1" applyProtection="1">
      <protection hidden="1"/>
    </xf>
    <xf numFmtId="9" fontId="39" fillId="0" borderId="10" xfId="4" applyFont="1" applyBorder="1" applyAlignment="1" applyProtection="1">
      <alignment horizontal="right" vertical="center" wrapText="1"/>
      <protection hidden="1"/>
    </xf>
    <xf numFmtId="44" fontId="71" fillId="0" borderId="0" xfId="3" applyFont="1" applyFill="1" applyAlignment="1" applyProtection="1">
      <protection hidden="1"/>
    </xf>
    <xf numFmtId="9" fontId="0" fillId="0" borderId="0" xfId="4" applyFont="1" applyFill="1" applyAlignment="1" applyProtection="1">
      <protection hidden="1"/>
    </xf>
    <xf numFmtId="0" fontId="6" fillId="0" borderId="0" xfId="0" applyFont="1" applyProtection="1">
      <protection hidden="1"/>
    </xf>
    <xf numFmtId="0" fontId="31" fillId="0" borderId="13" xfId="0" applyFont="1" applyBorder="1" applyAlignment="1" applyProtection="1">
      <alignment vertical="top" wrapText="1"/>
      <protection locked="0"/>
    </xf>
    <xf numFmtId="0" fontId="31" fillId="0" borderId="7" xfId="0" applyFont="1" applyBorder="1" applyAlignment="1" applyProtection="1">
      <alignment vertical="top" wrapText="1"/>
      <protection locked="0"/>
    </xf>
    <xf numFmtId="9" fontId="38" fillId="0" borderId="17" xfId="0" applyNumberFormat="1" applyFont="1" applyBorder="1" applyAlignment="1" applyProtection="1">
      <alignment horizontal="left" vertical="top" wrapText="1"/>
      <protection locked="0"/>
    </xf>
    <xf numFmtId="9" fontId="38" fillId="4" borderId="46" xfId="0" applyNumberFormat="1" applyFont="1" applyFill="1" applyBorder="1" applyAlignment="1" applyProtection="1">
      <alignment horizontal="left" vertical="top" wrapText="1"/>
      <protection locked="0"/>
    </xf>
    <xf numFmtId="166" fontId="30" fillId="0" borderId="9" xfId="0" applyNumberFormat="1" applyFont="1" applyBorder="1" applyAlignment="1" applyProtection="1">
      <alignment horizontal="right" vertical="center" wrapText="1"/>
      <protection locked="0"/>
    </xf>
    <xf numFmtId="166" fontId="31" fillId="0" borderId="2" xfId="0" applyNumberFormat="1" applyFont="1" applyBorder="1" applyAlignment="1" applyProtection="1">
      <alignment horizontal="right" vertical="center" wrapText="1"/>
      <protection locked="0"/>
    </xf>
    <xf numFmtId="166" fontId="31" fillId="0" borderId="47" xfId="0" applyNumberFormat="1" applyFont="1" applyBorder="1" applyAlignment="1" applyProtection="1">
      <alignment horizontal="right" vertical="center" wrapText="1"/>
      <protection locked="0"/>
    </xf>
    <xf numFmtId="166" fontId="31" fillId="0" borderId="48" xfId="0" applyNumberFormat="1" applyFont="1" applyBorder="1" applyAlignment="1" applyProtection="1">
      <alignment horizontal="right" vertical="center" wrapText="1"/>
      <protection locked="0"/>
    </xf>
    <xf numFmtId="0" fontId="8" fillId="2" borderId="2" xfId="0" applyFont="1" applyFill="1" applyBorder="1" applyAlignment="1">
      <alignment vertical="top"/>
    </xf>
    <xf numFmtId="0" fontId="7" fillId="2" borderId="3" xfId="0" applyFont="1" applyFill="1" applyBorder="1" applyAlignment="1">
      <alignment vertical="top"/>
    </xf>
    <xf numFmtId="0" fontId="7" fillId="2" borderId="7" xfId="0" applyFont="1" applyFill="1" applyBorder="1" applyAlignment="1">
      <alignment vertical="top"/>
    </xf>
    <xf numFmtId="0" fontId="9" fillId="0" borderId="13" xfId="0" applyFont="1" applyBorder="1" applyAlignment="1">
      <alignment vertical="top"/>
    </xf>
    <xf numFmtId="0" fontId="7" fillId="0" borderId="14" xfId="0" applyFont="1" applyBorder="1" applyAlignment="1">
      <alignment vertical="top"/>
    </xf>
    <xf numFmtId="0" fontId="7" fillId="0" borderId="15" xfId="0" applyFont="1" applyBorder="1" applyAlignment="1">
      <alignment vertical="top"/>
    </xf>
    <xf numFmtId="0" fontId="9" fillId="0" borderId="15" xfId="0" applyFont="1" applyBorder="1" applyAlignment="1">
      <alignment vertical="top"/>
    </xf>
    <xf numFmtId="0" fontId="13" fillId="0" borderId="15" xfId="0" applyFont="1" applyBorder="1"/>
    <xf numFmtId="0" fontId="9" fillId="0" borderId="16" xfId="0" applyFont="1" applyBorder="1" applyAlignment="1">
      <alignment vertical="top"/>
    </xf>
    <xf numFmtId="0" fontId="15" fillId="2" borderId="7" xfId="0" applyFont="1" applyFill="1" applyBorder="1"/>
    <xf numFmtId="0" fontId="11" fillId="0" borderId="1" xfId="0" applyFont="1" applyBorder="1"/>
    <xf numFmtId="0" fontId="16" fillId="0" borderId="9" xfId="0" applyFont="1" applyBorder="1"/>
    <xf numFmtId="165" fontId="16" fillId="0" borderId="9" xfId="0" applyNumberFormat="1" applyFont="1" applyBorder="1"/>
    <xf numFmtId="0" fontId="18" fillId="2" borderId="9" xfId="0" applyFont="1" applyFill="1" applyBorder="1" applyAlignment="1">
      <alignment vertical="center"/>
    </xf>
    <xf numFmtId="165" fontId="18" fillId="2" borderId="7" xfId="0" applyNumberFormat="1" applyFont="1" applyFill="1" applyBorder="1" applyAlignment="1">
      <alignment horizontal="center" vertical="center"/>
    </xf>
    <xf numFmtId="0" fontId="5" fillId="2" borderId="7" xfId="0" applyFont="1" applyFill="1" applyBorder="1"/>
    <xf numFmtId="0" fontId="3" fillId="2" borderId="7" xfId="0" applyFont="1" applyFill="1" applyBorder="1" applyAlignment="1" applyProtection="1">
      <alignment vertical="center" wrapText="1"/>
      <protection locked="0"/>
    </xf>
    <xf numFmtId="0" fontId="24" fillId="2" borderId="18" xfId="0" applyFont="1" applyFill="1" applyBorder="1" applyAlignment="1" applyProtection="1">
      <alignment vertical="top"/>
      <protection locked="0"/>
    </xf>
    <xf numFmtId="0" fontId="7" fillId="2" borderId="19" xfId="0" applyFont="1" applyFill="1" applyBorder="1" applyAlignment="1" applyProtection="1">
      <alignment horizontal="center" vertical="top"/>
      <protection locked="0"/>
    </xf>
    <xf numFmtId="0" fontId="7" fillId="2" borderId="19" xfId="0" applyFont="1" applyFill="1" applyBorder="1" applyAlignment="1" applyProtection="1">
      <alignment vertical="top"/>
      <protection locked="0"/>
    </xf>
    <xf numFmtId="0" fontId="7" fillId="2" borderId="30" xfId="0" applyFont="1" applyFill="1" applyBorder="1" applyAlignment="1" applyProtection="1">
      <alignment vertical="top"/>
      <protection locked="0"/>
    </xf>
    <xf numFmtId="0" fontId="7" fillId="0" borderId="14" xfId="0" applyFont="1" applyBorder="1" applyAlignment="1" applyProtection="1">
      <alignment vertical="top"/>
      <protection locked="0"/>
    </xf>
    <xf numFmtId="0" fontId="7" fillId="0" borderId="15" xfId="0" applyFont="1" applyBorder="1" applyAlignment="1" applyProtection="1">
      <alignment vertical="top"/>
      <protection locked="0"/>
    </xf>
    <xf numFmtId="0" fontId="9" fillId="0" borderId="15" xfId="0" applyFont="1" applyBorder="1" applyAlignment="1" applyProtection="1">
      <alignment vertical="top"/>
      <protection locked="0"/>
    </xf>
    <xf numFmtId="0" fontId="13" fillId="0" borderId="15" xfId="0" applyFont="1" applyBorder="1" applyProtection="1">
      <protection locked="0"/>
    </xf>
    <xf numFmtId="0" fontId="9" fillId="0" borderId="16" xfId="0" applyFont="1" applyBorder="1" applyAlignment="1" applyProtection="1">
      <alignment vertical="top"/>
      <protection locked="0"/>
    </xf>
    <xf numFmtId="0" fontId="36" fillId="2" borderId="7" xfId="0" applyFont="1" applyFill="1" applyBorder="1" applyProtection="1">
      <protection locked="0"/>
    </xf>
    <xf numFmtId="2" fontId="30" fillId="0" borderId="14" xfId="0" applyNumberFormat="1" applyFont="1" applyBorder="1" applyAlignment="1" applyProtection="1">
      <alignment horizontal="center" vertical="center" wrapText="1"/>
      <protection locked="0"/>
    </xf>
    <xf numFmtId="0" fontId="5" fillId="5" borderId="7" xfId="0" applyFont="1" applyFill="1" applyBorder="1" applyProtection="1">
      <protection locked="0"/>
    </xf>
    <xf numFmtId="166" fontId="32" fillId="5" borderId="7" xfId="0" applyNumberFormat="1" applyFont="1" applyFill="1" applyBorder="1" applyAlignment="1" applyProtection="1">
      <alignment vertical="center" wrapText="1"/>
      <protection locked="0"/>
    </xf>
    <xf numFmtId="0" fontId="32" fillId="0" borderId="9" xfId="0" applyFont="1" applyBorder="1" applyAlignment="1" applyProtection="1">
      <alignment vertical="center"/>
      <protection locked="0"/>
    </xf>
    <xf numFmtId="0" fontId="32" fillId="0" borderId="1" xfId="0" applyFont="1" applyBorder="1" applyAlignment="1" applyProtection="1">
      <alignment vertical="center"/>
      <protection locked="0"/>
    </xf>
    <xf numFmtId="0" fontId="28" fillId="2" borderId="10" xfId="0" applyFont="1" applyFill="1" applyBorder="1" applyAlignment="1" applyProtection="1">
      <alignment horizontal="center" vertical="center"/>
      <protection locked="0"/>
    </xf>
    <xf numFmtId="0" fontId="36" fillId="2" borderId="3" xfId="0" applyFont="1" applyFill="1" applyBorder="1" applyProtection="1">
      <protection locked="0"/>
    </xf>
    <xf numFmtId="166" fontId="32" fillId="6" borderId="7" xfId="0" applyNumberFormat="1" applyFont="1" applyFill="1" applyBorder="1" applyAlignment="1" applyProtection="1">
      <alignment vertical="center" wrapText="1"/>
      <protection hidden="1"/>
    </xf>
    <xf numFmtId="166" fontId="31" fillId="0" borderId="13" xfId="0" applyNumberFormat="1" applyFont="1" applyBorder="1" applyAlignment="1" applyProtection="1">
      <alignment horizontal="right" vertical="center" wrapText="1"/>
      <protection locked="0"/>
    </xf>
    <xf numFmtId="0" fontId="32" fillId="5" borderId="12" xfId="0" applyFont="1" applyFill="1" applyBorder="1" applyAlignment="1" applyProtection="1">
      <alignment horizontal="center" vertical="center"/>
      <protection locked="0"/>
    </xf>
    <xf numFmtId="0" fontId="28" fillId="2" borderId="12" xfId="0" applyFont="1" applyFill="1" applyBorder="1" applyAlignment="1" applyProtection="1">
      <alignment horizontal="center" vertical="center"/>
      <protection locked="0"/>
    </xf>
    <xf numFmtId="0" fontId="29" fillId="2" borderId="7" xfId="0" applyFont="1" applyFill="1" applyBorder="1" applyAlignment="1" applyProtection="1">
      <alignment vertical="center" wrapText="1"/>
      <protection locked="0"/>
    </xf>
    <xf numFmtId="0" fontId="5" fillId="0" borderId="9" xfId="0" applyFont="1" applyBorder="1" applyAlignment="1" applyProtection="1">
      <alignment horizontal="center" vertical="center"/>
      <protection locked="0"/>
    </xf>
    <xf numFmtId="0" fontId="5" fillId="8" borderId="7" xfId="0" applyFont="1" applyFill="1" applyBorder="1" applyProtection="1">
      <protection locked="0"/>
    </xf>
    <xf numFmtId="166" fontId="32" fillId="8" borderId="7" xfId="0" applyNumberFormat="1" applyFont="1" applyFill="1" applyBorder="1" applyAlignment="1" applyProtection="1">
      <alignment vertical="center" wrapText="1"/>
      <protection locked="0"/>
    </xf>
    <xf numFmtId="166" fontId="32" fillId="24" borderId="7" xfId="0" applyNumberFormat="1" applyFont="1" applyFill="1" applyBorder="1" applyAlignment="1" applyProtection="1">
      <alignment vertical="center" wrapText="1"/>
      <protection hidden="1"/>
    </xf>
    <xf numFmtId="166" fontId="42" fillId="26" borderId="7" xfId="0" applyNumberFormat="1" applyFont="1" applyFill="1" applyBorder="1" applyAlignment="1" applyProtection="1">
      <alignment vertical="center" wrapText="1"/>
      <protection hidden="1"/>
    </xf>
    <xf numFmtId="0" fontId="44" fillId="0" borderId="9" xfId="0" applyFont="1" applyBorder="1" applyAlignment="1" applyProtection="1">
      <alignment horizontal="center" vertical="center"/>
      <protection locked="0"/>
    </xf>
    <xf numFmtId="0" fontId="30" fillId="0" borderId="1" xfId="0" applyFont="1" applyBorder="1" applyAlignment="1" applyProtection="1">
      <alignment horizontal="center" vertical="center" wrapText="1"/>
      <protection locked="0"/>
    </xf>
    <xf numFmtId="2" fontId="30" fillId="0" borderId="1" xfId="0" applyNumberFormat="1" applyFont="1" applyBorder="1" applyAlignment="1" applyProtection="1">
      <alignment horizontal="center" vertical="center" wrapText="1"/>
      <protection locked="0"/>
    </xf>
    <xf numFmtId="166" fontId="30" fillId="0" borderId="1" xfId="0" applyNumberFormat="1" applyFont="1" applyBorder="1" applyAlignment="1" applyProtection="1">
      <alignment horizontal="right" vertical="center" wrapText="1"/>
      <protection locked="0"/>
    </xf>
    <xf numFmtId="166" fontId="31" fillId="0" borderId="1" xfId="0" applyNumberFormat="1" applyFont="1" applyBorder="1" applyAlignment="1" applyProtection="1">
      <alignment horizontal="right" vertical="center" wrapText="1"/>
      <protection locked="0"/>
    </xf>
    <xf numFmtId="166" fontId="31" fillId="0" borderId="13" xfId="0" applyNumberFormat="1" applyFont="1" applyBorder="1" applyAlignment="1" applyProtection="1">
      <alignment horizontal="right" vertical="center" wrapText="1"/>
      <protection hidden="1"/>
    </xf>
    <xf numFmtId="0" fontId="5" fillId="0" borderId="15" xfId="0" applyFont="1" applyBorder="1"/>
    <xf numFmtId="0" fontId="27" fillId="5" borderId="1" xfId="0" applyFont="1" applyFill="1" applyBorder="1" applyAlignment="1">
      <alignment vertical="center" wrapText="1"/>
    </xf>
    <xf numFmtId="166" fontId="32" fillId="5" borderId="7" xfId="0" applyNumberFormat="1" applyFont="1" applyFill="1" applyBorder="1" applyAlignment="1">
      <alignment vertical="center" wrapText="1"/>
    </xf>
    <xf numFmtId="0" fontId="42" fillId="18" borderId="36" xfId="0" applyFont="1" applyFill="1" applyBorder="1"/>
    <xf numFmtId="169" fontId="32" fillId="18" borderId="37" xfId="0" applyNumberFormat="1" applyFont="1" applyFill="1" applyBorder="1"/>
    <xf numFmtId="0" fontId="5" fillId="0" borderId="1" xfId="0" applyFont="1" applyBorder="1"/>
    <xf numFmtId="0" fontId="46" fillId="5" borderId="18" xfId="0" applyFont="1" applyFill="1" applyBorder="1"/>
    <xf numFmtId="0" fontId="10" fillId="5" borderId="19" xfId="0" applyFont="1" applyFill="1" applyBorder="1"/>
    <xf numFmtId="0" fontId="10" fillId="5" borderId="30" xfId="0" applyFont="1" applyFill="1" applyBorder="1"/>
    <xf numFmtId="0" fontId="46" fillId="4" borderId="18" xfId="0" applyFont="1" applyFill="1" applyBorder="1"/>
    <xf numFmtId="0" fontId="10" fillId="4" borderId="19" xfId="0" applyFont="1" applyFill="1" applyBorder="1"/>
    <xf numFmtId="0" fontId="10" fillId="4" borderId="30" xfId="0" applyFont="1" applyFill="1" applyBorder="1"/>
    <xf numFmtId="0" fontId="49" fillId="12" borderId="21" xfId="0" applyFont="1" applyFill="1" applyBorder="1"/>
    <xf numFmtId="0" fontId="10" fillId="12" borderId="32" xfId="0" applyFont="1" applyFill="1" applyBorder="1"/>
    <xf numFmtId="164" fontId="49" fillId="12" borderId="23" xfId="0" applyNumberFormat="1" applyFont="1" applyFill="1" applyBorder="1"/>
    <xf numFmtId="0" fontId="49" fillId="15" borderId="21" xfId="0" applyFont="1" applyFill="1" applyBorder="1"/>
    <xf numFmtId="0" fontId="50" fillId="15" borderId="21" xfId="0" applyFont="1" applyFill="1" applyBorder="1"/>
    <xf numFmtId="0" fontId="10" fillId="15" borderId="32" xfId="0" applyFont="1" applyFill="1" applyBorder="1"/>
    <xf numFmtId="0" fontId="49" fillId="15" borderId="17" xfId="0" applyFont="1" applyFill="1" applyBorder="1"/>
    <xf numFmtId="0" fontId="10" fillId="15" borderId="33" xfId="0" applyFont="1" applyFill="1" applyBorder="1"/>
    <xf numFmtId="0" fontId="49" fillId="15" borderId="23" xfId="0" applyFont="1" applyFill="1" applyBorder="1"/>
    <xf numFmtId="0" fontId="7" fillId="0" borderId="21" xfId="0" applyFont="1" applyBorder="1"/>
    <xf numFmtId="164" fontId="7" fillId="0" borderId="21" xfId="0" applyNumberFormat="1" applyFont="1" applyBorder="1"/>
    <xf numFmtId="0" fontId="10" fillId="0" borderId="21" xfId="0" applyFont="1" applyBorder="1"/>
    <xf numFmtId="0" fontId="10" fillId="4" borderId="18" xfId="0" applyFont="1" applyFill="1" applyBorder="1"/>
    <xf numFmtId="0" fontId="10" fillId="0" borderId="19" xfId="0" applyFont="1" applyBorder="1"/>
    <xf numFmtId="0" fontId="10" fillId="13" borderId="18" xfId="0" applyFont="1" applyFill="1" applyBorder="1"/>
    <xf numFmtId="0" fontId="10" fillId="6" borderId="18" xfId="0" applyFont="1" applyFill="1" applyBorder="1"/>
    <xf numFmtId="9" fontId="10" fillId="9" borderId="30" xfId="0" applyNumberFormat="1" applyFont="1" applyFill="1" applyBorder="1"/>
    <xf numFmtId="0" fontId="10" fillId="13" borderId="19" xfId="0" applyFont="1" applyFill="1" applyBorder="1"/>
    <xf numFmtId="0" fontId="10" fillId="16" borderId="19" xfId="0" applyFont="1" applyFill="1" applyBorder="1"/>
    <xf numFmtId="0" fontId="10" fillId="9" borderId="19" xfId="0" applyFont="1" applyFill="1" applyBorder="1"/>
    <xf numFmtId="0" fontId="49" fillId="12" borderId="23" xfId="0" applyFont="1" applyFill="1" applyBorder="1"/>
    <xf numFmtId="0" fontId="10" fillId="0" borderId="15" xfId="0" applyFont="1" applyBorder="1"/>
    <xf numFmtId="0" fontId="10" fillId="9" borderId="30" xfId="0" applyFont="1" applyFill="1" applyBorder="1"/>
    <xf numFmtId="0" fontId="15" fillId="2" borderId="3" xfId="0" applyFont="1" applyFill="1" applyBorder="1"/>
    <xf numFmtId="0" fontId="11" fillId="0" borderId="50" xfId="0" applyFont="1" applyBorder="1"/>
    <xf numFmtId="165" fontId="16" fillId="0" borderId="7" xfId="0" applyNumberFormat="1" applyFont="1" applyBorder="1" applyAlignment="1">
      <alignment horizontal="center" vertical="center"/>
    </xf>
    <xf numFmtId="0" fontId="16" fillId="0" borderId="51" xfId="0" applyFont="1" applyBorder="1" applyAlignment="1">
      <alignment vertical="center"/>
    </xf>
    <xf numFmtId="0" fontId="11" fillId="0" borderId="52" xfId="0" applyFont="1" applyBorder="1"/>
    <xf numFmtId="0" fontId="11" fillId="0" borderId="53" xfId="0" applyFont="1" applyBorder="1"/>
    <xf numFmtId="166" fontId="75" fillId="0" borderId="8" xfId="0" applyNumberFormat="1" applyFont="1" applyBorder="1" applyAlignment="1" applyProtection="1">
      <alignment horizontal="right" vertical="center" wrapText="1"/>
      <protection locked="0"/>
    </xf>
    <xf numFmtId="0" fontId="11" fillId="0" borderId="17" xfId="5" applyFont="1"/>
    <xf numFmtId="0" fontId="0" fillId="0" borderId="17" xfId="5" applyFont="1"/>
    <xf numFmtId="0" fontId="11" fillId="0" borderId="54" xfId="0" applyFont="1" applyBorder="1"/>
    <xf numFmtId="169" fontId="11" fillId="0" borderId="55" xfId="0" applyNumberFormat="1" applyFont="1" applyBorder="1" applyAlignment="1">
      <alignment horizontal="right"/>
    </xf>
    <xf numFmtId="164" fontId="11" fillId="0" borderId="56" xfId="0" applyNumberFormat="1" applyFont="1" applyBorder="1"/>
    <xf numFmtId="0" fontId="14" fillId="22" borderId="57" xfId="0" applyFont="1" applyFill="1" applyBorder="1" applyAlignment="1">
      <alignment vertical="center"/>
    </xf>
    <xf numFmtId="0" fontId="16" fillId="22" borderId="58" xfId="0" applyFont="1" applyFill="1" applyBorder="1"/>
    <xf numFmtId="0" fontId="17" fillId="22" borderId="58" xfId="0" applyFont="1" applyFill="1" applyBorder="1"/>
    <xf numFmtId="169" fontId="14" fillId="22" borderId="59" xfId="0" applyNumberFormat="1" applyFont="1" applyFill="1" applyBorder="1" applyAlignment="1">
      <alignment horizontal="center" vertical="center"/>
    </xf>
    <xf numFmtId="166" fontId="31" fillId="0" borderId="13" xfId="0" applyNumberFormat="1" applyFont="1" applyBorder="1" applyAlignment="1">
      <alignment horizontal="right" vertical="center" wrapText="1"/>
    </xf>
    <xf numFmtId="44" fontId="0" fillId="0" borderId="0" xfId="3" applyFont="1" applyAlignment="1"/>
    <xf numFmtId="44" fontId="71" fillId="0" borderId="0" xfId="0" applyNumberFormat="1" applyFont="1"/>
    <xf numFmtId="9" fontId="0" fillId="0" borderId="0" xfId="4" applyFont="1" applyFill="1" applyAlignment="1"/>
    <xf numFmtId="0" fontId="42" fillId="30" borderId="9" xfId="0" applyFont="1" applyFill="1" applyBorder="1" applyAlignment="1" applyProtection="1">
      <alignment horizontal="center" vertical="center"/>
      <protection locked="0"/>
    </xf>
    <xf numFmtId="0" fontId="5" fillId="30" borderId="1" xfId="0" applyFont="1" applyFill="1" applyBorder="1" applyProtection="1">
      <protection locked="0"/>
    </xf>
    <xf numFmtId="0" fontId="6" fillId="30" borderId="1" xfId="0" applyFont="1" applyFill="1" applyBorder="1" applyProtection="1">
      <protection locked="0"/>
    </xf>
    <xf numFmtId="166" fontId="42" fillId="30" borderId="7" xfId="0" applyNumberFormat="1" applyFont="1" applyFill="1" applyBorder="1" applyAlignment="1">
      <alignment vertical="center" wrapText="1"/>
    </xf>
    <xf numFmtId="0" fontId="37" fillId="0" borderId="0" xfId="0" applyFont="1"/>
    <xf numFmtId="166" fontId="42" fillId="6" borderId="6" xfId="0" applyNumberFormat="1" applyFont="1" applyFill="1" applyBorder="1" applyAlignment="1">
      <alignment vertical="center" wrapText="1"/>
    </xf>
    <xf numFmtId="166" fontId="42" fillId="6" borderId="18" xfId="0" applyNumberFormat="1" applyFont="1" applyFill="1" applyBorder="1" applyAlignment="1">
      <alignment vertical="center" wrapText="1"/>
    </xf>
    <xf numFmtId="167" fontId="37" fillId="19" borderId="42" xfId="0" applyNumberFormat="1" applyFont="1" applyFill="1" applyBorder="1"/>
    <xf numFmtId="166" fontId="42" fillId="28" borderId="18" xfId="0" applyNumberFormat="1" applyFont="1" applyFill="1" applyBorder="1" applyAlignment="1">
      <alignment vertical="center" wrapText="1"/>
    </xf>
    <xf numFmtId="44" fontId="73" fillId="29" borderId="42" xfId="0" applyNumberFormat="1" applyFont="1" applyFill="1" applyBorder="1"/>
    <xf numFmtId="9" fontId="72" fillId="25" borderId="42" xfId="4" applyFont="1" applyFill="1" applyBorder="1" applyAlignment="1"/>
    <xf numFmtId="0" fontId="42" fillId="31" borderId="18" xfId="0" applyFont="1" applyFill="1" applyBorder="1" applyAlignment="1" applyProtection="1">
      <alignment horizontal="center" vertical="center"/>
      <protection locked="0"/>
    </xf>
    <xf numFmtId="0" fontId="5" fillId="31" borderId="19" xfId="0" applyFont="1" applyFill="1" applyBorder="1" applyProtection="1">
      <protection locked="0"/>
    </xf>
    <xf numFmtId="0" fontId="6" fillId="31" borderId="19" xfId="0" applyFont="1" applyFill="1" applyBorder="1" applyProtection="1">
      <protection locked="0"/>
    </xf>
    <xf numFmtId="169" fontId="27" fillId="31" borderId="30" xfId="0" applyNumberFormat="1" applyFont="1" applyFill="1" applyBorder="1" applyAlignment="1" applyProtection="1">
      <alignment horizontal="right" vertical="center" wrapText="1"/>
      <protection locked="0"/>
    </xf>
    <xf numFmtId="0" fontId="32" fillId="30" borderId="17" xfId="0" applyFont="1" applyFill="1" applyBorder="1" applyAlignment="1" applyProtection="1">
      <alignment horizontal="center" vertical="center"/>
      <protection locked="0"/>
    </xf>
    <xf numFmtId="0" fontId="5" fillId="30" borderId="17" xfId="0" applyFont="1" applyFill="1" applyBorder="1" applyProtection="1">
      <protection locked="0"/>
    </xf>
    <xf numFmtId="0" fontId="6" fillId="30" borderId="17" xfId="0" applyFont="1" applyFill="1" applyBorder="1" applyProtection="1">
      <protection locked="0"/>
    </xf>
    <xf numFmtId="44" fontId="32" fillId="30" borderId="17" xfId="3" applyFont="1" applyFill="1" applyBorder="1" applyAlignment="1">
      <alignment vertical="center" wrapText="1"/>
    </xf>
    <xf numFmtId="167" fontId="0" fillId="0" borderId="17" xfId="0" applyNumberFormat="1" applyBorder="1"/>
    <xf numFmtId="166" fontId="42" fillId="0" borderId="17" xfId="0" applyNumberFormat="1" applyFont="1" applyBorder="1" applyAlignment="1">
      <alignment vertical="center" wrapText="1"/>
    </xf>
    <xf numFmtId="44" fontId="73" fillId="0" borderId="17" xfId="0" applyNumberFormat="1" applyFont="1" applyBorder="1"/>
    <xf numFmtId="9" fontId="72" fillId="0" borderId="17" xfId="4" applyFont="1" applyFill="1" applyBorder="1" applyAlignment="1"/>
    <xf numFmtId="0" fontId="76" fillId="0" borderId="0" xfId="0" applyFont="1" applyProtection="1">
      <protection locked="0"/>
    </xf>
    <xf numFmtId="0" fontId="32" fillId="30" borderId="9" xfId="0" applyFont="1" applyFill="1" applyBorder="1" applyAlignment="1" applyProtection="1">
      <alignment horizontal="center" vertical="center"/>
      <protection locked="0"/>
    </xf>
    <xf numFmtId="0" fontId="78" fillId="30" borderId="1" xfId="0" applyFont="1" applyFill="1" applyBorder="1" applyProtection="1">
      <protection locked="0"/>
    </xf>
    <xf numFmtId="0" fontId="48" fillId="30" borderId="1" xfId="0" applyFont="1" applyFill="1" applyBorder="1" applyProtection="1">
      <protection locked="0"/>
    </xf>
    <xf numFmtId="166" fontId="32" fillId="30" borderId="7" xfId="0" applyNumberFormat="1" applyFont="1" applyFill="1" applyBorder="1" applyAlignment="1" applyProtection="1">
      <alignment vertical="center" wrapText="1"/>
      <protection locked="0"/>
    </xf>
    <xf numFmtId="0" fontId="76" fillId="0" borderId="0" xfId="0" applyFont="1"/>
    <xf numFmtId="166" fontId="32" fillId="6" borderId="6" xfId="0" applyNumberFormat="1" applyFont="1" applyFill="1" applyBorder="1" applyAlignment="1">
      <alignment vertical="center" wrapText="1"/>
    </xf>
    <xf numFmtId="166" fontId="32" fillId="6" borderId="18" xfId="0" applyNumberFormat="1" applyFont="1" applyFill="1" applyBorder="1" applyAlignment="1">
      <alignment vertical="center" wrapText="1"/>
    </xf>
    <xf numFmtId="167" fontId="76" fillId="19" borderId="42" xfId="0" applyNumberFormat="1" applyFont="1" applyFill="1" applyBorder="1"/>
    <xf numFmtId="166" fontId="32" fillId="28" borderId="18" xfId="0" applyNumberFormat="1" applyFont="1" applyFill="1" applyBorder="1" applyAlignment="1">
      <alignment vertical="center" wrapText="1"/>
    </xf>
    <xf numFmtId="44" fontId="79" fillId="29" borderId="42" xfId="0" applyNumberFormat="1" applyFont="1" applyFill="1" applyBorder="1"/>
    <xf numFmtId="9" fontId="80" fillId="25" borderId="42" xfId="4" applyFont="1" applyFill="1" applyBorder="1" applyAlignment="1"/>
    <xf numFmtId="0" fontId="32" fillId="0" borderId="0" xfId="0" applyFont="1" applyAlignment="1">
      <alignment horizontal="center" vertical="center"/>
    </xf>
    <xf numFmtId="0" fontId="28" fillId="2" borderId="9" xfId="0" applyFont="1" applyFill="1" applyBorder="1" applyAlignment="1">
      <alignment vertical="center"/>
    </xf>
    <xf numFmtId="0" fontId="15" fillId="2" borderId="13" xfId="0" applyFont="1" applyFill="1" applyBorder="1"/>
    <xf numFmtId="0" fontId="11" fillId="0" borderId="60" xfId="0" applyFont="1" applyBorder="1"/>
    <xf numFmtId="0" fontId="11" fillId="0" borderId="61" xfId="0" applyFont="1" applyBorder="1"/>
    <xf numFmtId="0" fontId="11" fillId="0" borderId="62" xfId="0" applyFont="1" applyBorder="1"/>
    <xf numFmtId="0" fontId="11" fillId="0" borderId="63" xfId="0" applyFont="1" applyBorder="1"/>
    <xf numFmtId="0" fontId="11" fillId="0" borderId="64" xfId="0" applyFont="1" applyBorder="1"/>
    <xf numFmtId="165" fontId="11" fillId="0" borderId="63" xfId="0" applyNumberFormat="1" applyFont="1" applyBorder="1"/>
    <xf numFmtId="165" fontId="16" fillId="0" borderId="51" xfId="0" applyNumberFormat="1" applyFont="1" applyBorder="1"/>
    <xf numFmtId="165" fontId="16" fillId="0" borderId="53" xfId="0" applyNumberFormat="1" applyFont="1" applyBorder="1" applyAlignment="1">
      <alignment horizontal="center" vertical="center"/>
    </xf>
    <xf numFmtId="0" fontId="42" fillId="2" borderId="1" xfId="0" applyFont="1" applyFill="1" applyBorder="1" applyAlignment="1" applyProtection="1">
      <alignment horizontal="center"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5" fillId="0" borderId="0" xfId="0" applyFont="1" applyAlignment="1" applyProtection="1">
      <alignment horizontal="left" vertical="top"/>
      <protection locked="0"/>
    </xf>
    <xf numFmtId="0" fontId="26" fillId="0" borderId="8" xfId="0" applyFont="1" applyBorder="1" applyAlignment="1" applyProtection="1">
      <alignment horizontal="center" vertical="top"/>
      <protection locked="0"/>
    </xf>
    <xf numFmtId="0" fontId="29" fillId="2" borderId="9" xfId="0" applyFont="1" applyFill="1" applyBorder="1" applyAlignment="1" applyProtection="1">
      <alignment vertical="top" wrapText="1"/>
      <protection locked="0"/>
    </xf>
    <xf numFmtId="0" fontId="41" fillId="5" borderId="9" xfId="0" applyFont="1" applyFill="1" applyBorder="1" applyAlignment="1" applyProtection="1">
      <alignment vertical="top" wrapText="1"/>
      <protection locked="0"/>
    </xf>
    <xf numFmtId="0" fontId="32" fillId="0" borderId="1" xfId="0" applyFont="1" applyBorder="1" applyAlignment="1" applyProtection="1">
      <alignment vertical="top"/>
      <protection locked="0"/>
    </xf>
    <xf numFmtId="0" fontId="30" fillId="0" borderId="1" xfId="0" applyFont="1" applyBorder="1" applyAlignment="1" applyProtection="1">
      <alignment horizontal="left" vertical="top" wrapText="1"/>
      <protection locked="0"/>
    </xf>
    <xf numFmtId="0" fontId="30" fillId="0" borderId="7" xfId="0" applyFont="1" applyBorder="1" applyAlignment="1" applyProtection="1">
      <alignment horizontal="left" vertical="top" wrapText="1"/>
      <protection locked="0"/>
    </xf>
    <xf numFmtId="0" fontId="41" fillId="5" borderId="14" xfId="0" applyFont="1" applyFill="1" applyBorder="1" applyAlignment="1" applyProtection="1">
      <alignment vertical="top" wrapText="1"/>
      <protection locked="0"/>
    </xf>
    <xf numFmtId="0" fontId="32" fillId="0" borderId="3" xfId="0" applyFont="1" applyBorder="1" applyAlignment="1" applyProtection="1">
      <alignment vertical="top"/>
      <protection locked="0"/>
    </xf>
    <xf numFmtId="0" fontId="43" fillId="7" borderId="9" xfId="0" applyFont="1" applyFill="1" applyBorder="1" applyAlignment="1" applyProtection="1">
      <alignment vertical="top" wrapText="1"/>
      <protection locked="0"/>
    </xf>
    <xf numFmtId="0" fontId="41" fillId="8" borderId="9" xfId="0" applyFont="1" applyFill="1" applyBorder="1" applyAlignment="1" applyProtection="1">
      <alignment vertical="top" wrapText="1"/>
      <protection locked="0"/>
    </xf>
    <xf numFmtId="0" fontId="41" fillId="0" borderId="0" xfId="0" applyFont="1" applyAlignment="1" applyProtection="1">
      <alignment horizontal="right" vertical="top" wrapText="1"/>
      <protection locked="0"/>
    </xf>
    <xf numFmtId="0" fontId="27" fillId="30" borderId="1" xfId="0" applyFont="1" applyFill="1" applyBorder="1" applyAlignment="1" applyProtection="1">
      <alignment vertical="top" wrapText="1"/>
      <protection locked="0"/>
    </xf>
    <xf numFmtId="0" fontId="43" fillId="31" borderId="19" xfId="0" applyFont="1" applyFill="1" applyBorder="1" applyAlignment="1" applyProtection="1">
      <alignment vertical="top" wrapText="1"/>
      <protection locked="0"/>
    </xf>
    <xf numFmtId="0" fontId="41" fillId="30" borderId="17" xfId="0" applyFont="1" applyFill="1" applyBorder="1" applyAlignment="1">
      <alignment vertical="top" wrapText="1"/>
    </xf>
    <xf numFmtId="0" fontId="41" fillId="30" borderId="1" xfId="0" applyFont="1" applyFill="1" applyBorder="1" applyAlignment="1" applyProtection="1">
      <alignment vertical="top" wrapText="1"/>
      <protection locked="0"/>
    </xf>
    <xf numFmtId="0" fontId="6" fillId="0" borderId="0" xfId="0" applyFont="1" applyAlignment="1">
      <alignment vertical="top"/>
    </xf>
    <xf numFmtId="0" fontId="5" fillId="2" borderId="1" xfId="0" applyFont="1" applyFill="1" applyBorder="1" applyAlignment="1">
      <alignment vertical="top"/>
    </xf>
    <xf numFmtId="0" fontId="0" fillId="0" borderId="0" xfId="0" applyAlignment="1" applyProtection="1">
      <alignment vertical="top"/>
      <protection locked="0"/>
    </xf>
    <xf numFmtId="0" fontId="29" fillId="2" borderId="2"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center" wrapText="1"/>
      <protection locked="0"/>
    </xf>
    <xf numFmtId="0" fontId="29" fillId="2" borderId="14" xfId="0" applyFont="1" applyFill="1" applyBorder="1" applyAlignment="1" applyProtection="1">
      <alignment horizontal="center" vertical="top" wrapText="1"/>
      <protection locked="0"/>
    </xf>
    <xf numFmtId="0" fontId="5" fillId="29" borderId="51" xfId="0" applyFont="1" applyFill="1" applyBorder="1"/>
    <xf numFmtId="167" fontId="6" fillId="32" borderId="52" xfId="0" applyNumberFormat="1" applyFont="1" applyFill="1" applyBorder="1"/>
    <xf numFmtId="0" fontId="30" fillId="32" borderId="52" xfId="0" applyFont="1" applyFill="1" applyBorder="1" applyAlignment="1">
      <alignment vertical="center" wrapText="1"/>
    </xf>
    <xf numFmtId="0" fontId="66" fillId="29" borderId="53" xfId="0" applyFont="1" applyFill="1" applyBorder="1" applyAlignment="1">
      <alignment wrapText="1"/>
    </xf>
    <xf numFmtId="0" fontId="30" fillId="32" borderId="52" xfId="0" applyFont="1" applyFill="1" applyBorder="1" applyAlignment="1">
      <alignment horizontal="left" vertical="center" wrapText="1"/>
    </xf>
    <xf numFmtId="0" fontId="0" fillId="0" borderId="0" xfId="0" applyAlignment="1" applyProtection="1">
      <alignment horizontal="center"/>
      <protection locked="0"/>
    </xf>
    <xf numFmtId="0" fontId="30" fillId="33" borderId="8" xfId="0" applyFont="1" applyFill="1" applyBorder="1" applyAlignment="1" applyProtection="1">
      <alignment horizontal="center" vertical="center" wrapText="1"/>
      <protection locked="0"/>
    </xf>
    <xf numFmtId="2" fontId="30" fillId="33" borderId="8" xfId="0" applyNumberFormat="1" applyFont="1" applyFill="1" applyBorder="1" applyAlignment="1" applyProtection="1">
      <alignment horizontal="center" vertical="center" wrapText="1"/>
      <protection locked="0"/>
    </xf>
    <xf numFmtId="166" fontId="30" fillId="33" borderId="8" xfId="0" applyNumberFormat="1" applyFont="1" applyFill="1" applyBorder="1" applyAlignment="1" applyProtection="1">
      <alignment horizontal="right" vertical="center" wrapText="1"/>
      <protection locked="0"/>
    </xf>
    <xf numFmtId="166" fontId="31" fillId="33" borderId="8" xfId="0" applyNumberFormat="1" applyFont="1" applyFill="1" applyBorder="1" applyAlignment="1" applyProtection="1">
      <alignment horizontal="right" vertical="center" wrapText="1"/>
      <protection locked="0"/>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3" fillId="0" borderId="0" xfId="0" applyFont="1" applyAlignment="1">
      <alignment horizontal="left" vertical="top" wrapText="1"/>
    </xf>
    <xf numFmtId="0" fontId="0" fillId="0" borderId="0" xfId="0"/>
    <xf numFmtId="0" fontId="18" fillId="2" borderId="9" xfId="0" applyFont="1" applyFill="1" applyBorder="1" applyAlignment="1">
      <alignment horizontal="left"/>
    </xf>
    <xf numFmtId="0" fontId="69" fillId="0" borderId="3" xfId="0" applyFont="1" applyBorder="1"/>
    <xf numFmtId="0" fontId="14" fillId="21" borderId="35" xfId="0" applyFont="1" applyFill="1" applyBorder="1" applyAlignment="1">
      <alignment vertical="center" wrapText="1"/>
    </xf>
    <xf numFmtId="0" fontId="0" fillId="0" borderId="36" xfId="0" applyBorder="1"/>
    <xf numFmtId="0" fontId="0" fillId="0" borderId="37" xfId="0" applyBorder="1"/>
    <xf numFmtId="0" fontId="18" fillId="2" borderId="2" xfId="0" applyFont="1" applyFill="1" applyBorder="1" applyAlignment="1">
      <alignment horizontal="left"/>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84" fillId="0" borderId="17" xfId="0" applyFont="1" applyBorder="1" applyAlignment="1" applyProtection="1">
      <alignment horizontal="left" vertical="top" wrapText="1"/>
      <protection locked="0"/>
    </xf>
    <xf numFmtId="0" fontId="13" fillId="0" borderId="17" xfId="0" applyFont="1" applyBorder="1" applyAlignment="1" applyProtection="1">
      <alignment horizontal="left" vertical="top" wrapText="1"/>
      <protection locked="0"/>
    </xf>
    <xf numFmtId="0" fontId="13" fillId="0" borderId="23" xfId="0" applyFont="1" applyBorder="1" applyAlignment="1" applyProtection="1">
      <alignment horizontal="left" vertical="top" wrapText="1"/>
      <protection locked="0"/>
    </xf>
    <xf numFmtId="0" fontId="5" fillId="0" borderId="10" xfId="0" applyFont="1" applyBorder="1" applyAlignment="1" applyProtection="1">
      <alignment horizontal="center" vertical="center"/>
      <protection locked="0"/>
    </xf>
    <xf numFmtId="0" fontId="2" fillId="0" borderId="11" xfId="0" applyFont="1" applyBorder="1" applyProtection="1">
      <protection locked="0"/>
    </xf>
    <xf numFmtId="0" fontId="2" fillId="0" borderId="12" xfId="0" applyFont="1" applyBorder="1" applyProtection="1">
      <protection locked="0"/>
    </xf>
    <xf numFmtId="0" fontId="81" fillId="0" borderId="21" xfId="0" applyFont="1" applyBorder="1" applyAlignment="1">
      <alignment vertical="center" wrapText="1"/>
    </xf>
    <xf numFmtId="0" fontId="82" fillId="0" borderId="21" xfId="0" applyFont="1" applyBorder="1"/>
    <xf numFmtId="0" fontId="33" fillId="0" borderId="0" xfId="0" applyFont="1" applyAlignment="1">
      <alignment vertical="center" wrapText="1"/>
    </xf>
    <xf numFmtId="0" fontId="7" fillId="0" borderId="49" xfId="0" applyFont="1" applyBorder="1" applyAlignment="1" applyProtection="1">
      <alignment vertical="top" wrapText="1"/>
      <protection locked="0"/>
    </xf>
    <xf numFmtId="0" fontId="0" fillId="0" borderId="21" xfId="0" applyBorder="1"/>
    <xf numFmtId="0" fontId="0" fillId="0" borderId="28" xfId="0" applyBorder="1"/>
    <xf numFmtId="0" fontId="0" fillId="0" borderId="4" xfId="0" applyBorder="1"/>
    <xf numFmtId="0" fontId="0" fillId="0" borderId="17" xfId="0" applyBorder="1"/>
    <xf numFmtId="0" fontId="0" fillId="0" borderId="5" xfId="0" applyBorder="1"/>
    <xf numFmtId="0" fontId="0" fillId="0" borderId="14" xfId="0" applyBorder="1"/>
    <xf numFmtId="0" fontId="0" fillId="0" borderId="15" xfId="0" applyBorder="1"/>
    <xf numFmtId="0" fontId="0" fillId="0" borderId="16" xfId="0" applyBorder="1"/>
    <xf numFmtId="0" fontId="5" fillId="0" borderId="43" xfId="0" applyFont="1" applyBorder="1" applyAlignment="1" applyProtection="1">
      <alignment horizontal="center" vertical="center"/>
      <protection locked="0"/>
    </xf>
    <xf numFmtId="0" fontId="0" fillId="0" borderId="44" xfId="0" applyBorder="1" applyProtection="1">
      <protection locked="0"/>
    </xf>
    <xf numFmtId="0" fontId="2" fillId="0" borderId="45" xfId="0" applyFont="1" applyBorder="1" applyProtection="1">
      <protection locked="0"/>
    </xf>
    <xf numFmtId="0" fontId="5" fillId="0" borderId="11" xfId="0" applyFont="1" applyBorder="1" applyAlignment="1" applyProtection="1">
      <alignment horizontal="center" vertical="center"/>
      <protection locked="0"/>
    </xf>
    <xf numFmtId="0" fontId="33" fillId="19" borderId="35" xfId="0" applyFont="1" applyFill="1" applyBorder="1" applyAlignment="1">
      <alignment vertical="center" wrapText="1"/>
    </xf>
    <xf numFmtId="0" fontId="2" fillId="19" borderId="36" xfId="0" applyFont="1" applyFill="1" applyBorder="1"/>
    <xf numFmtId="0" fontId="2" fillId="19" borderId="37" xfId="0" applyFont="1" applyFill="1" applyBorder="1"/>
    <xf numFmtId="0" fontId="2" fillId="0" borderId="1" xfId="0" applyFont="1" applyBorder="1"/>
    <xf numFmtId="0" fontId="2" fillId="0" borderId="7" xfId="0" applyFont="1" applyBorder="1"/>
    <xf numFmtId="0" fontId="5" fillId="2" borderId="9" xfId="0" applyFont="1" applyFill="1" applyBorder="1" applyAlignment="1">
      <alignment horizontal="center" wrapText="1"/>
    </xf>
    <xf numFmtId="0" fontId="47" fillId="11" borderId="20" xfId="0" applyFont="1" applyFill="1" applyBorder="1" applyAlignment="1">
      <alignment horizontal="center"/>
    </xf>
    <xf numFmtId="0" fontId="2" fillId="0" borderId="21" xfId="0" applyFont="1" applyBorder="1"/>
    <xf numFmtId="0" fontId="2" fillId="0" borderId="22" xfId="0" applyFont="1" applyBorder="1"/>
    <xf numFmtId="0" fontId="2" fillId="0" borderId="23" xfId="0" applyFont="1" applyBorder="1"/>
    <xf numFmtId="0" fontId="48" fillId="5" borderId="18" xfId="0" applyFont="1" applyFill="1" applyBorder="1" applyAlignment="1">
      <alignment horizontal="center"/>
    </xf>
    <xf numFmtId="0" fontId="2" fillId="0" borderId="19" xfId="0" applyFont="1" applyBorder="1"/>
    <xf numFmtId="0" fontId="47" fillId="13" borderId="25" xfId="0" applyFont="1" applyFill="1" applyBorder="1" applyAlignment="1">
      <alignment horizontal="center" vertical="center" textRotation="255"/>
    </xf>
    <xf numFmtId="0" fontId="2" fillId="0" borderId="26" xfId="0" applyFont="1" applyBorder="1"/>
    <xf numFmtId="0" fontId="47" fillId="16" borderId="25" xfId="0" applyFont="1" applyFill="1" applyBorder="1" applyAlignment="1">
      <alignment horizontal="center" vertical="center" textRotation="255"/>
    </xf>
    <xf numFmtId="0" fontId="47" fillId="17" borderId="25" xfId="0" applyFont="1" applyFill="1" applyBorder="1" applyAlignment="1">
      <alignment horizontal="center" vertical="center" textRotation="255"/>
    </xf>
    <xf numFmtId="0" fontId="2" fillId="0" borderId="31" xfId="0" applyFont="1" applyBorder="1"/>
  </cellXfs>
  <cellStyles count="6">
    <cellStyle name="Collegamento ipertestuale 2" xfId="2"/>
    <cellStyle name="Normale" xfId="0" builtinId="0"/>
    <cellStyle name="Normale 2" xfId="1"/>
    <cellStyle name="Normale 4" xfId="5"/>
    <cellStyle name="Percentuale" xfId="4" builtinId="5"/>
    <cellStyle name="Valuta" xfId="3" builtinId="4"/>
  </cellStyles>
  <dxfs count="1">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dxf>
  </dxfs>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1" name="Tabella1" displayName="Tabella1" ref="A1:A5" totalsRowShown="0" headerRowDxfId="0">
  <autoFilter ref="A1:A5"/>
  <tableColumns count="1">
    <tableColumn id="1" name="Listini"/>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mailto:email@esempi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pageSetUpPr fitToPage="1"/>
  </sheetPr>
  <dimension ref="A1:Z998"/>
  <sheetViews>
    <sheetView showGridLines="0" zoomScale="99" zoomScaleNormal="99" workbookViewId="0">
      <selection activeCell="J7" sqref="J7"/>
    </sheetView>
  </sheetViews>
  <sheetFormatPr defaultColWidth="11.140625" defaultRowHeight="15" customHeight="1" outlineLevelCol="1" x14ac:dyDescent="0.45"/>
  <cols>
    <col min="1" max="1" width="7.35546875" customWidth="1"/>
    <col min="2" max="2" width="29.35546875" customWidth="1"/>
    <col min="3" max="3" width="5" customWidth="1"/>
    <col min="4" max="4" width="10.140625" customWidth="1"/>
    <col min="5" max="5" width="11.140625" customWidth="1"/>
    <col min="6" max="6" width="25.140625" bestFit="1" customWidth="1"/>
    <col min="7" max="7" width="4.85546875" customWidth="1"/>
    <col min="8" max="8" width="10.35546875" hidden="1" customWidth="1" outlineLevel="1"/>
    <col min="9" max="9" width="11.35546875" customWidth="1" collapsed="1"/>
    <col min="10" max="10" width="16.35546875" bestFit="1" customWidth="1"/>
    <col min="11" max="26" width="5.85546875" customWidth="1"/>
  </cols>
  <sheetData>
    <row r="1" spans="1:26" ht="23.25" customHeight="1" x14ac:dyDescent="0.45">
      <c r="A1" s="462" t="s">
        <v>453</v>
      </c>
      <c r="B1" s="463"/>
      <c r="C1" s="463"/>
      <c r="D1" s="463"/>
      <c r="E1" s="463"/>
      <c r="F1" s="464"/>
      <c r="G1" s="1"/>
      <c r="H1" s="2"/>
      <c r="I1" s="2"/>
      <c r="J1" s="2"/>
      <c r="K1" s="2"/>
      <c r="L1" s="2"/>
      <c r="M1" s="2"/>
      <c r="N1" s="2"/>
      <c r="O1" s="2"/>
      <c r="P1" s="2"/>
      <c r="Q1" s="2"/>
      <c r="R1" s="2"/>
      <c r="S1" s="2"/>
      <c r="T1" s="2"/>
      <c r="U1" s="2"/>
      <c r="V1" s="2"/>
      <c r="W1" s="2"/>
      <c r="X1" s="2"/>
      <c r="Y1" s="2"/>
      <c r="Z1" s="2"/>
    </row>
    <row r="2" spans="1:26" ht="13.5" customHeight="1" x14ac:dyDescent="0.45">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45">
      <c r="A3" s="2"/>
      <c r="B3" s="3"/>
      <c r="C3" s="3"/>
      <c r="D3" s="3"/>
      <c r="E3" s="3"/>
      <c r="F3" s="4" t="s">
        <v>507</v>
      </c>
      <c r="G3" s="2"/>
      <c r="H3" s="2"/>
      <c r="I3" s="2"/>
      <c r="J3" s="2"/>
      <c r="K3" s="2"/>
      <c r="L3" s="2"/>
      <c r="M3" s="2"/>
      <c r="N3" s="2"/>
      <c r="O3" s="2"/>
      <c r="P3" s="2"/>
      <c r="Q3" s="2"/>
      <c r="R3" s="2"/>
      <c r="S3" s="2"/>
      <c r="T3" s="2"/>
      <c r="U3" s="2"/>
      <c r="V3" s="2"/>
      <c r="W3" s="2"/>
      <c r="X3" s="2"/>
      <c r="Y3" s="2"/>
      <c r="Z3" s="2"/>
    </row>
    <row r="4" spans="1:26" ht="15" customHeight="1" x14ac:dyDescent="0.45">
      <c r="A4" s="2"/>
      <c r="B4" s="2"/>
      <c r="C4" s="5"/>
      <c r="D4" s="2"/>
      <c r="E4" s="2"/>
      <c r="F4" s="6"/>
      <c r="G4" s="2"/>
      <c r="H4" s="2"/>
      <c r="I4" s="2"/>
      <c r="J4" s="2"/>
      <c r="K4" s="2"/>
      <c r="L4" s="2"/>
      <c r="M4" s="2"/>
      <c r="N4" s="2"/>
      <c r="O4" s="2"/>
      <c r="P4" s="2"/>
      <c r="Q4" s="2"/>
      <c r="R4" s="2"/>
      <c r="S4" s="2"/>
      <c r="T4" s="2"/>
      <c r="U4" s="2"/>
      <c r="V4" s="2"/>
      <c r="W4" s="2"/>
      <c r="X4" s="2"/>
      <c r="Y4" s="2"/>
      <c r="Z4" s="2"/>
    </row>
    <row r="5" spans="1:26" ht="24" customHeight="1" x14ac:dyDescent="0.45">
      <c r="A5" s="2"/>
      <c r="B5" s="7"/>
      <c r="C5" s="2"/>
      <c r="D5" s="2"/>
      <c r="E5" s="2"/>
      <c r="F5" s="2"/>
      <c r="G5" s="2"/>
      <c r="H5" s="2"/>
      <c r="I5" s="2"/>
      <c r="J5" s="2"/>
      <c r="K5" s="2"/>
      <c r="L5" s="2"/>
      <c r="M5" s="2"/>
      <c r="N5" s="2"/>
      <c r="O5" s="2"/>
      <c r="P5" s="2"/>
      <c r="Q5" s="2"/>
      <c r="R5" s="2"/>
      <c r="S5" s="2"/>
      <c r="T5" s="2"/>
      <c r="U5" s="2"/>
      <c r="V5" s="2"/>
      <c r="W5" s="2"/>
      <c r="X5" s="2"/>
      <c r="Y5" s="2"/>
      <c r="Z5" s="2"/>
    </row>
    <row r="6" spans="1:26" ht="13.5" customHeight="1" x14ac:dyDescent="0.45">
      <c r="A6" s="275" t="s">
        <v>1</v>
      </c>
      <c r="B6" s="276"/>
      <c r="C6" s="276"/>
      <c r="D6" s="276"/>
      <c r="E6" s="276"/>
      <c r="F6" s="277"/>
      <c r="G6" s="8"/>
      <c r="H6" s="2"/>
      <c r="I6" s="2"/>
      <c r="J6" s="2"/>
      <c r="K6" s="2"/>
      <c r="L6" s="2"/>
      <c r="M6" s="2"/>
      <c r="N6" s="2"/>
      <c r="O6" s="2"/>
      <c r="P6" s="2"/>
      <c r="Q6" s="2"/>
      <c r="R6" s="2"/>
      <c r="S6" s="2"/>
      <c r="T6" s="2"/>
      <c r="U6" s="2"/>
      <c r="V6" s="2"/>
      <c r="W6" s="2"/>
      <c r="X6" s="2"/>
      <c r="Y6" s="2"/>
      <c r="Z6" s="2"/>
    </row>
    <row r="7" spans="1:26" ht="13.5" customHeight="1" x14ac:dyDescent="0.45">
      <c r="A7" s="9"/>
      <c r="B7" s="10"/>
      <c r="C7" s="11"/>
      <c r="D7" s="11"/>
      <c r="E7" s="11"/>
      <c r="F7" s="278"/>
      <c r="G7" s="8"/>
      <c r="H7" s="2"/>
      <c r="I7" s="2"/>
      <c r="J7" s="2"/>
      <c r="K7" s="2"/>
      <c r="L7" s="2"/>
      <c r="M7" s="2"/>
      <c r="N7" s="2"/>
      <c r="O7" s="2"/>
      <c r="P7" s="2"/>
      <c r="Q7" s="2"/>
      <c r="R7" s="2"/>
      <c r="S7" s="2"/>
      <c r="T7" s="2"/>
      <c r="U7" s="2"/>
      <c r="V7" s="2"/>
      <c r="W7" s="2"/>
      <c r="X7" s="2"/>
      <c r="Y7" s="2"/>
      <c r="Z7" s="2"/>
    </row>
    <row r="8" spans="1:26" ht="13.5" customHeight="1" x14ac:dyDescent="0.45">
      <c r="A8" s="12" t="s">
        <v>475</v>
      </c>
      <c r="B8" s="13"/>
      <c r="C8" s="14"/>
      <c r="D8" s="14"/>
      <c r="E8" s="14"/>
      <c r="F8" s="15"/>
      <c r="G8" s="8"/>
      <c r="H8" s="16"/>
      <c r="I8" s="2"/>
      <c r="J8" s="2"/>
      <c r="K8" s="2"/>
      <c r="L8" s="2"/>
      <c r="M8" s="2"/>
      <c r="N8" s="2"/>
      <c r="O8" s="2"/>
      <c r="P8" s="2"/>
      <c r="Q8" s="2"/>
      <c r="R8" s="2"/>
      <c r="S8" s="2"/>
      <c r="T8" s="2"/>
      <c r="U8" s="2"/>
      <c r="V8" s="2"/>
      <c r="W8" s="2"/>
      <c r="X8" s="2"/>
      <c r="Y8" s="2"/>
      <c r="Z8" s="2"/>
    </row>
    <row r="9" spans="1:26" ht="13.5" customHeight="1" x14ac:dyDescent="0.45">
      <c r="A9" s="12" t="s">
        <v>476</v>
      </c>
      <c r="B9" s="13"/>
      <c r="C9" s="14"/>
      <c r="D9" s="14"/>
      <c r="E9" s="14"/>
      <c r="F9" s="15"/>
      <c r="G9" s="8"/>
      <c r="H9" s="2"/>
      <c r="I9" s="2"/>
      <c r="J9" s="2"/>
      <c r="K9" s="2"/>
      <c r="L9" s="2"/>
      <c r="M9" s="2"/>
      <c r="N9" s="2"/>
      <c r="O9" s="2"/>
      <c r="P9" s="2"/>
      <c r="Q9" s="2"/>
      <c r="R9" s="2"/>
      <c r="S9" s="2"/>
      <c r="T9" s="2"/>
      <c r="U9" s="2"/>
      <c r="V9" s="2"/>
      <c r="W9" s="2"/>
      <c r="X9" s="2"/>
      <c r="Y9" s="2"/>
      <c r="Z9" s="2"/>
    </row>
    <row r="10" spans="1:26" ht="13.5" customHeight="1" x14ac:dyDescent="0.45">
      <c r="A10" s="12" t="s">
        <v>477</v>
      </c>
      <c r="B10" s="13"/>
      <c r="C10" s="14"/>
      <c r="D10" s="14"/>
      <c r="E10" s="14"/>
      <c r="F10" s="15"/>
      <c r="G10" s="8"/>
      <c r="H10" s="2"/>
      <c r="I10" s="2"/>
      <c r="J10" s="2"/>
      <c r="K10" s="2"/>
      <c r="L10" s="2"/>
      <c r="M10" s="2"/>
      <c r="N10" s="2"/>
      <c r="O10" s="2"/>
      <c r="P10" s="2"/>
      <c r="Q10" s="2"/>
      <c r="R10" s="2"/>
      <c r="S10" s="2"/>
      <c r="T10" s="2"/>
      <c r="U10" s="2"/>
      <c r="V10" s="2"/>
      <c r="W10" s="2"/>
      <c r="X10" s="2"/>
      <c r="Y10" s="2"/>
      <c r="Z10" s="2"/>
    </row>
    <row r="11" spans="1:26" ht="13.5" customHeight="1" x14ac:dyDescent="0.45">
      <c r="A11" s="12"/>
      <c r="B11" s="13"/>
      <c r="C11" s="14"/>
      <c r="D11" s="14"/>
      <c r="E11" s="14"/>
      <c r="F11" s="15"/>
      <c r="G11" s="8"/>
      <c r="H11" s="2"/>
      <c r="I11" s="2"/>
      <c r="J11" s="2"/>
      <c r="K11" s="2"/>
      <c r="L11" s="2"/>
      <c r="M11" s="2"/>
      <c r="N11" s="2"/>
      <c r="O11" s="2"/>
      <c r="P11" s="2"/>
      <c r="Q11" s="2"/>
      <c r="R11" s="2"/>
      <c r="S11" s="2"/>
      <c r="T11" s="2"/>
      <c r="U11" s="2"/>
      <c r="V11" s="2"/>
      <c r="W11" s="2"/>
      <c r="X11" s="2"/>
      <c r="Y11" s="2"/>
      <c r="Z11" s="2"/>
    </row>
    <row r="12" spans="1:26" ht="5.25" customHeight="1" x14ac:dyDescent="0.45">
      <c r="A12" s="12"/>
      <c r="B12" s="13"/>
      <c r="C12" s="14"/>
      <c r="D12" s="14"/>
      <c r="E12" s="14"/>
      <c r="F12" s="15"/>
      <c r="G12" s="8"/>
      <c r="H12" s="2"/>
      <c r="I12" s="2"/>
      <c r="J12" s="2"/>
      <c r="K12" s="2"/>
      <c r="L12" s="2"/>
      <c r="M12" s="2"/>
      <c r="N12" s="2"/>
      <c r="O12" s="2"/>
      <c r="P12" s="2"/>
      <c r="Q12" s="2"/>
      <c r="R12" s="2"/>
      <c r="S12" s="2"/>
      <c r="T12" s="2"/>
      <c r="U12" s="2"/>
      <c r="V12" s="2"/>
      <c r="W12" s="2"/>
      <c r="X12" s="2"/>
      <c r="Y12" s="2"/>
      <c r="Z12" s="2"/>
    </row>
    <row r="13" spans="1:26" ht="13.5" hidden="1" customHeight="1" x14ac:dyDescent="0.45">
      <c r="A13" s="12"/>
      <c r="B13" s="13"/>
      <c r="C13" s="17"/>
      <c r="D13" s="17"/>
      <c r="E13" s="17"/>
      <c r="F13" s="18"/>
      <c r="G13" s="8"/>
      <c r="H13" s="2"/>
      <c r="I13" s="2"/>
      <c r="J13" s="2"/>
      <c r="K13" s="2"/>
      <c r="L13" s="2"/>
      <c r="M13" s="2"/>
      <c r="N13" s="2"/>
      <c r="O13" s="2"/>
      <c r="P13" s="2"/>
      <c r="Q13" s="2"/>
      <c r="R13" s="2"/>
      <c r="S13" s="2"/>
      <c r="T13" s="2"/>
      <c r="U13" s="2"/>
      <c r="V13" s="2"/>
      <c r="W13" s="2"/>
      <c r="X13" s="2"/>
      <c r="Y13" s="2"/>
      <c r="Z13" s="2"/>
    </row>
    <row r="14" spans="1:26" ht="13.5" hidden="1" customHeight="1" x14ac:dyDescent="0.45">
      <c r="A14" s="279"/>
      <c r="B14" s="280"/>
      <c r="C14" s="281"/>
      <c r="D14" s="282"/>
      <c r="E14" s="282"/>
      <c r="F14" s="283"/>
      <c r="G14" s="8"/>
      <c r="H14" s="2"/>
      <c r="I14" s="2"/>
      <c r="J14" s="2"/>
      <c r="K14" s="2"/>
      <c r="L14" s="2"/>
      <c r="M14" s="2"/>
      <c r="N14" s="2"/>
      <c r="O14" s="2"/>
      <c r="P14" s="2"/>
      <c r="Q14" s="2"/>
      <c r="R14" s="2"/>
      <c r="S14" s="2"/>
      <c r="T14" s="2"/>
      <c r="U14" s="2"/>
      <c r="V14" s="2"/>
      <c r="W14" s="2"/>
      <c r="X14" s="2"/>
      <c r="Y14" s="2"/>
      <c r="Z14" s="2"/>
    </row>
    <row r="15" spans="1:26" ht="13.5" customHeight="1" x14ac:dyDescent="0.45">
      <c r="A15" s="8"/>
      <c r="B15" s="8"/>
      <c r="C15" s="8"/>
      <c r="D15" s="2"/>
      <c r="E15" s="2"/>
      <c r="F15" s="8"/>
      <c r="G15" s="8"/>
      <c r="H15" s="2"/>
      <c r="I15" s="2"/>
      <c r="J15" s="2"/>
      <c r="K15" s="2"/>
      <c r="L15" s="2"/>
      <c r="M15" s="2"/>
      <c r="N15" s="2"/>
      <c r="O15" s="2"/>
      <c r="P15" s="2"/>
      <c r="Q15" s="2"/>
      <c r="R15" s="2"/>
      <c r="S15" s="2"/>
      <c r="T15" s="2"/>
      <c r="U15" s="2"/>
      <c r="V15" s="2"/>
      <c r="W15" s="2"/>
      <c r="X15" s="2"/>
      <c r="Y15" s="2"/>
      <c r="Z15" s="2"/>
    </row>
    <row r="16" spans="1:26" ht="13.5" customHeight="1" thickBot="1" x14ac:dyDescent="0.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x14ac:dyDescent="0.5">
      <c r="A17" s="467" t="s">
        <v>2</v>
      </c>
      <c r="B17" s="468"/>
      <c r="C17" s="360"/>
      <c r="D17" s="360"/>
      <c r="E17" s="360"/>
      <c r="F17" s="284"/>
      <c r="G17" s="19"/>
      <c r="H17" s="20" t="s">
        <v>3</v>
      </c>
      <c r="I17" s="19"/>
      <c r="J17" s="19"/>
      <c r="K17" s="19"/>
      <c r="L17" s="19"/>
      <c r="M17" s="19"/>
      <c r="N17" s="19"/>
      <c r="O17" s="19"/>
      <c r="P17" s="19"/>
      <c r="Q17" s="19"/>
      <c r="R17" s="19"/>
      <c r="S17" s="19"/>
      <c r="T17" s="19"/>
      <c r="U17" s="19"/>
      <c r="V17" s="19"/>
      <c r="W17" s="19"/>
      <c r="X17" s="19"/>
      <c r="Y17" s="19"/>
      <c r="Z17" s="19"/>
    </row>
    <row r="18" spans="1:26" ht="13.5" customHeight="1" x14ac:dyDescent="0.45">
      <c r="A18" s="122"/>
      <c r="B18" s="361"/>
      <c r="C18" s="361"/>
      <c r="D18" s="361"/>
      <c r="E18" s="361"/>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45">
      <c r="A19" s="122"/>
      <c r="B19" s="127"/>
      <c r="C19" s="122"/>
      <c r="D19" s="122"/>
      <c r="E19" s="122"/>
      <c r="F19" s="22"/>
      <c r="G19" s="19"/>
      <c r="H19" s="19"/>
      <c r="I19" s="19"/>
      <c r="J19" s="19"/>
      <c r="K19" s="19"/>
      <c r="L19" s="19"/>
      <c r="M19" s="19"/>
      <c r="N19" s="19"/>
      <c r="O19" s="19"/>
      <c r="P19" s="19"/>
      <c r="Q19" s="19"/>
      <c r="R19" s="19"/>
      <c r="S19" s="19"/>
      <c r="T19" s="19"/>
      <c r="U19" s="19"/>
      <c r="V19" s="19"/>
      <c r="W19" s="19"/>
      <c r="X19" s="19"/>
      <c r="Y19" s="19"/>
      <c r="Z19" s="19"/>
    </row>
    <row r="20" spans="1:26" ht="13.5" customHeight="1" x14ac:dyDescent="0.45">
      <c r="A20" s="19"/>
      <c r="B20" s="363" t="s">
        <v>4</v>
      </c>
      <c r="C20" s="364"/>
      <c r="D20" s="364"/>
      <c r="E20" s="365"/>
      <c r="F20" s="362">
        <f>'A-EDILE'!G196</f>
        <v>92224.000000000015</v>
      </c>
      <c r="G20" s="19"/>
      <c r="H20" s="24"/>
      <c r="I20" s="19"/>
      <c r="J20" s="19"/>
      <c r="K20" s="19"/>
      <c r="L20" s="19"/>
      <c r="M20" s="19"/>
      <c r="N20" s="19"/>
      <c r="O20" s="19"/>
      <c r="P20" s="19"/>
      <c r="Q20" s="19"/>
      <c r="R20" s="19"/>
      <c r="S20" s="19"/>
      <c r="T20" s="19"/>
      <c r="U20" s="19"/>
      <c r="V20" s="19"/>
      <c r="W20" s="19"/>
      <c r="X20" s="19"/>
      <c r="Y20" s="19"/>
      <c r="Z20" s="19"/>
    </row>
    <row r="21" spans="1:26" ht="13.5" customHeight="1" x14ac:dyDescent="0.45">
      <c r="A21" s="19"/>
      <c r="B21" s="22"/>
      <c r="C21" s="19"/>
      <c r="D21" s="19"/>
      <c r="E21" s="19"/>
      <c r="F21" s="25"/>
      <c r="G21" s="19"/>
      <c r="H21" s="19"/>
      <c r="I21" s="19"/>
      <c r="J21" s="19"/>
      <c r="K21" s="19"/>
      <c r="L21" s="19"/>
      <c r="M21" s="19"/>
      <c r="N21" s="19"/>
      <c r="O21" s="19"/>
      <c r="P21" s="19"/>
      <c r="Q21" s="19"/>
      <c r="R21" s="19"/>
      <c r="S21" s="19"/>
      <c r="T21" s="19"/>
      <c r="U21" s="19"/>
      <c r="V21" s="19"/>
      <c r="W21" s="19"/>
      <c r="X21" s="19"/>
      <c r="Y21" s="19"/>
      <c r="Z21" s="19"/>
    </row>
    <row r="22" spans="1:26" ht="13.5" customHeight="1" x14ac:dyDescent="0.45">
      <c r="A22" s="19"/>
      <c r="B22" s="286" t="s">
        <v>452</v>
      </c>
      <c r="C22" s="285"/>
      <c r="D22" s="285"/>
      <c r="E22" s="23"/>
      <c r="F22" s="21">
        <f>'B-FINITURE'!E82</f>
        <v>0</v>
      </c>
      <c r="G22" s="19"/>
      <c r="H22" s="24"/>
      <c r="I22" s="19"/>
      <c r="J22" s="19"/>
      <c r="K22" s="19"/>
      <c r="L22" s="19"/>
      <c r="M22" s="19"/>
      <c r="N22" s="19"/>
      <c r="O22" s="19"/>
      <c r="P22" s="19"/>
      <c r="Q22" s="19"/>
      <c r="R22" s="19"/>
      <c r="S22" s="19"/>
      <c r="T22" s="19"/>
      <c r="U22" s="19"/>
      <c r="V22" s="19"/>
      <c r="W22" s="19"/>
      <c r="X22" s="19"/>
      <c r="Y22" s="19"/>
      <c r="Z22" s="19"/>
    </row>
    <row r="23" spans="1:26" ht="13.5" customHeight="1" x14ac:dyDescent="0.45">
      <c r="A23" s="19"/>
      <c r="B23" s="22"/>
      <c r="C23" s="19"/>
      <c r="D23" s="19"/>
      <c r="E23" s="19"/>
      <c r="F23" s="25"/>
      <c r="G23" s="19"/>
      <c r="H23" s="19"/>
      <c r="I23" s="19"/>
      <c r="J23" s="19"/>
      <c r="K23" s="19"/>
      <c r="L23" s="19"/>
      <c r="M23" s="19"/>
      <c r="N23" s="19"/>
      <c r="O23" s="19"/>
      <c r="P23" s="19"/>
      <c r="Q23" s="19"/>
      <c r="R23" s="19"/>
      <c r="S23" s="19"/>
      <c r="T23" s="19"/>
      <c r="U23" s="19"/>
      <c r="V23" s="19"/>
      <c r="W23" s="19"/>
      <c r="X23" s="19"/>
      <c r="Y23" s="19"/>
      <c r="Z23" s="19"/>
    </row>
    <row r="24" spans="1:26" ht="13.5" customHeight="1" x14ac:dyDescent="0.45">
      <c r="A24" s="19"/>
      <c r="B24" s="287" t="s">
        <v>445</v>
      </c>
      <c r="C24" s="285"/>
      <c r="D24" s="285"/>
      <c r="E24" s="23"/>
      <c r="F24" s="21">
        <f>'C- SERRAMENTI PORTE  '!E34</f>
        <v>0</v>
      </c>
      <c r="G24" s="19"/>
      <c r="H24" s="24"/>
      <c r="I24" s="19"/>
      <c r="J24" s="19"/>
      <c r="K24" s="19"/>
      <c r="L24" s="19"/>
      <c r="M24" s="19"/>
      <c r="N24" s="19"/>
      <c r="O24" s="19"/>
      <c r="P24" s="19"/>
      <c r="Q24" s="19"/>
      <c r="R24" s="19"/>
      <c r="S24" s="19"/>
      <c r="T24" s="19"/>
      <c r="U24" s="19"/>
      <c r="V24" s="19"/>
      <c r="W24" s="19"/>
      <c r="X24" s="19"/>
      <c r="Y24" s="19"/>
      <c r="Z24" s="19"/>
    </row>
    <row r="25" spans="1:26" ht="13.5" customHeight="1" x14ac:dyDescent="0.45">
      <c r="A25" s="19"/>
      <c r="B25" s="121"/>
      <c r="C25" s="122"/>
      <c r="D25" s="122"/>
      <c r="E25" s="122"/>
      <c r="F25" s="123"/>
      <c r="G25" s="19"/>
      <c r="H25" s="124"/>
      <c r="I25" s="19"/>
      <c r="J25" s="19"/>
      <c r="K25" s="19"/>
      <c r="L25" s="19"/>
      <c r="M25" s="19"/>
      <c r="N25" s="19"/>
      <c r="O25" s="19"/>
      <c r="P25" s="19"/>
      <c r="Q25" s="19"/>
      <c r="R25" s="19"/>
      <c r="S25" s="19"/>
      <c r="T25" s="19"/>
      <c r="U25" s="19"/>
      <c r="V25" s="19"/>
      <c r="W25" s="19"/>
      <c r="X25" s="19"/>
      <c r="Y25" s="19"/>
      <c r="Z25" s="19"/>
    </row>
    <row r="26" spans="1:26" ht="13.5" customHeight="1" x14ac:dyDescent="0.45">
      <c r="A26" s="19"/>
      <c r="B26" s="287" t="s">
        <v>5</v>
      </c>
      <c r="C26" s="285"/>
      <c r="D26" s="285"/>
      <c r="E26" s="23"/>
      <c r="F26" s="21">
        <f>'D- PRODOTTI'!E29</f>
        <v>0</v>
      </c>
      <c r="G26" s="19"/>
      <c r="H26" s="124"/>
      <c r="I26" s="19"/>
      <c r="J26" s="19"/>
      <c r="K26" s="19"/>
      <c r="L26" s="19"/>
      <c r="M26" s="19"/>
      <c r="N26" s="19"/>
      <c r="O26" s="19"/>
      <c r="P26" s="19"/>
      <c r="Q26" s="19"/>
      <c r="R26" s="19"/>
      <c r="S26" s="19"/>
      <c r="T26" s="19"/>
      <c r="U26" s="19"/>
      <c r="V26" s="19"/>
      <c r="W26" s="19"/>
      <c r="X26" s="19"/>
      <c r="Y26" s="19"/>
      <c r="Z26" s="19"/>
    </row>
    <row r="27" spans="1:26" ht="13.5" customHeight="1" x14ac:dyDescent="0.45">
      <c r="A27" s="19"/>
      <c r="B27" s="121"/>
      <c r="C27" s="122"/>
      <c r="D27" s="122"/>
      <c r="E27" s="122"/>
      <c r="F27" s="123"/>
      <c r="G27" s="19"/>
      <c r="H27" s="124"/>
      <c r="I27" s="19"/>
      <c r="J27" s="19"/>
      <c r="K27" s="19"/>
      <c r="L27" s="19"/>
      <c r="M27" s="19"/>
      <c r="N27" s="19"/>
      <c r="O27" s="19"/>
      <c r="P27" s="19"/>
      <c r="Q27" s="19"/>
      <c r="R27" s="19"/>
      <c r="S27" s="19"/>
      <c r="T27" s="19"/>
      <c r="U27" s="19"/>
      <c r="V27" s="19"/>
      <c r="W27" s="19"/>
      <c r="X27" s="19"/>
      <c r="Y27" s="19"/>
      <c r="Z27" s="19"/>
    </row>
    <row r="28" spans="1:26" ht="13.5" customHeight="1" x14ac:dyDescent="0.45">
      <c r="A28" s="19"/>
      <c r="B28" s="424"/>
      <c r="C28" s="364"/>
      <c r="D28" s="364"/>
      <c r="E28" s="365"/>
      <c r="F28" s="425">
        <f>(F22+F24+F26)*0.07</f>
        <v>0</v>
      </c>
      <c r="G28" s="19"/>
      <c r="H28" s="124"/>
      <c r="I28" s="19"/>
      <c r="J28" s="19"/>
      <c r="K28" s="19"/>
      <c r="L28" s="19"/>
      <c r="M28" s="19"/>
      <c r="N28" s="19"/>
      <c r="O28" s="19"/>
      <c r="P28" s="19"/>
      <c r="Q28" s="19"/>
      <c r="R28" s="19"/>
      <c r="S28" s="19"/>
      <c r="T28" s="19"/>
      <c r="U28" s="19"/>
      <c r="V28" s="19"/>
      <c r="W28" s="19"/>
      <c r="X28" s="19"/>
      <c r="Y28" s="19"/>
      <c r="Z28" s="19"/>
    </row>
    <row r="29" spans="1:26" ht="13.5" customHeight="1" x14ac:dyDescent="0.45">
      <c r="A29" s="19"/>
      <c r="B29" s="22"/>
      <c r="C29" s="19"/>
      <c r="D29" s="19"/>
      <c r="E29" s="19"/>
      <c r="F29" s="25"/>
      <c r="G29" s="19"/>
      <c r="H29" s="19"/>
      <c r="I29" s="19"/>
      <c r="J29" s="19"/>
      <c r="K29" s="19"/>
      <c r="L29" s="19"/>
      <c r="M29" s="19"/>
      <c r="N29" s="19"/>
      <c r="O29" s="19"/>
      <c r="P29" s="19"/>
      <c r="Q29" s="19"/>
      <c r="R29" s="19"/>
      <c r="S29" s="19"/>
      <c r="T29" s="19"/>
      <c r="U29" s="19"/>
      <c r="V29" s="19"/>
      <c r="W29" s="19"/>
      <c r="X29" s="19"/>
      <c r="Y29" s="19"/>
      <c r="Z29" s="19"/>
    </row>
    <row r="30" spans="1:26" ht="18" customHeight="1" x14ac:dyDescent="0.45">
      <c r="A30" s="288" t="s">
        <v>6</v>
      </c>
      <c r="B30" s="26"/>
      <c r="C30" s="27"/>
      <c r="D30" s="27"/>
      <c r="E30" s="27"/>
      <c r="F30" s="289">
        <f>F20+F22+F24+F26+F28</f>
        <v>92224.000000000015</v>
      </c>
      <c r="G30" s="19"/>
      <c r="H30" s="19"/>
      <c r="I30" s="19"/>
      <c r="J30" s="19"/>
      <c r="K30" s="19"/>
      <c r="L30" s="19"/>
      <c r="M30" s="19"/>
      <c r="N30" s="19"/>
      <c r="O30" s="19"/>
      <c r="P30" s="19"/>
      <c r="Q30" s="19"/>
      <c r="R30" s="19"/>
      <c r="S30" s="19"/>
      <c r="T30" s="19"/>
      <c r="U30" s="19"/>
      <c r="V30" s="19"/>
      <c r="W30" s="19"/>
      <c r="X30" s="19"/>
      <c r="Y30" s="19"/>
      <c r="Z30" s="19"/>
    </row>
    <row r="31" spans="1:26" ht="13.5" customHeight="1" x14ac:dyDescent="0.45">
      <c r="A31" s="19"/>
      <c r="B31" s="19"/>
      <c r="C31" s="19"/>
      <c r="D31" s="19"/>
      <c r="E31" s="19"/>
      <c r="F31" s="28"/>
      <c r="G31" s="19"/>
      <c r="H31" s="19"/>
      <c r="I31" s="19"/>
      <c r="J31" s="19"/>
      <c r="K31" s="19"/>
      <c r="L31" s="19"/>
      <c r="M31" s="19"/>
      <c r="N31" s="19"/>
      <c r="O31" s="19"/>
      <c r="P31" s="19"/>
      <c r="Q31" s="19"/>
      <c r="R31" s="19"/>
      <c r="S31" s="19"/>
      <c r="T31" s="19"/>
      <c r="U31" s="19"/>
      <c r="V31" s="19"/>
      <c r="W31" s="19"/>
      <c r="X31" s="19"/>
      <c r="Y31" s="19"/>
      <c r="Z31" s="19"/>
    </row>
    <row r="32" spans="1:26" ht="9" hidden="1" customHeight="1" x14ac:dyDescent="0.45">
      <c r="A32" s="29"/>
      <c r="B32" s="30"/>
      <c r="C32" s="30"/>
      <c r="D32" s="30"/>
      <c r="E32" s="30"/>
      <c r="F32" s="30"/>
      <c r="G32" s="19"/>
      <c r="H32" s="19"/>
      <c r="I32" s="19"/>
      <c r="J32" s="19"/>
      <c r="K32" s="19"/>
      <c r="L32" s="19"/>
      <c r="M32" s="19"/>
      <c r="N32" s="19"/>
      <c r="O32" s="19"/>
      <c r="P32" s="19"/>
      <c r="Q32" s="19"/>
      <c r="R32" s="19"/>
      <c r="S32" s="19"/>
      <c r="T32" s="19"/>
      <c r="U32" s="19"/>
      <c r="V32" s="19"/>
      <c r="W32" s="19"/>
      <c r="X32" s="19"/>
      <c r="Y32" s="19"/>
      <c r="Z32" s="19"/>
    </row>
    <row r="33" spans="1:26" s="368" customFormat="1" ht="55" hidden="1" customHeight="1" thickBot="1" x14ac:dyDescent="0.5">
      <c r="A33" s="469"/>
      <c r="B33" s="470"/>
      <c r="C33" s="470"/>
      <c r="D33" s="470"/>
      <c r="E33" s="470"/>
      <c r="F33" s="471"/>
      <c r="G33" s="367"/>
      <c r="H33" s="367"/>
      <c r="I33" s="367"/>
      <c r="J33" s="367"/>
      <c r="K33" s="367"/>
      <c r="L33" s="367"/>
      <c r="M33" s="367"/>
      <c r="N33" s="367"/>
      <c r="O33" s="367"/>
      <c r="P33" s="367"/>
      <c r="Q33" s="367"/>
      <c r="R33" s="367"/>
      <c r="S33" s="367"/>
      <c r="T33" s="367"/>
      <c r="U33" s="367"/>
      <c r="V33" s="367"/>
      <c r="W33" s="367"/>
      <c r="X33" s="367"/>
      <c r="Y33" s="367"/>
      <c r="Z33" s="367"/>
    </row>
    <row r="34" spans="1:26" ht="13.5" hidden="1" customHeight="1" x14ac:dyDescent="0.45">
      <c r="A34" s="369"/>
      <c r="B34" s="127" t="s">
        <v>7</v>
      </c>
      <c r="C34" s="122"/>
      <c r="D34" s="122"/>
      <c r="E34" s="122"/>
      <c r="F34" s="370"/>
      <c r="G34" s="19"/>
      <c r="H34" s="19"/>
      <c r="I34" s="19"/>
      <c r="J34" s="19"/>
      <c r="K34" s="19"/>
      <c r="L34" s="19"/>
      <c r="M34" s="19"/>
      <c r="N34" s="19"/>
      <c r="O34" s="19"/>
      <c r="P34" s="19"/>
      <c r="Q34" s="19"/>
      <c r="R34" s="19"/>
      <c r="S34" s="19"/>
      <c r="T34" s="19"/>
      <c r="U34" s="19"/>
      <c r="V34" s="19"/>
      <c r="W34" s="19"/>
      <c r="X34" s="19"/>
      <c r="Y34" s="19"/>
      <c r="Z34" s="19"/>
    </row>
    <row r="35" spans="1:26" ht="13.5" hidden="1" customHeight="1" x14ac:dyDescent="0.45">
      <c r="A35" s="369"/>
      <c r="B35" s="127" t="s">
        <v>8</v>
      </c>
      <c r="C35" s="122"/>
      <c r="D35" s="122"/>
      <c r="E35" s="126"/>
      <c r="F35" s="371"/>
      <c r="G35" s="19"/>
      <c r="H35" s="19"/>
      <c r="I35" s="19"/>
      <c r="J35" s="19"/>
      <c r="K35" s="19"/>
      <c r="L35" s="19"/>
      <c r="M35" s="19"/>
      <c r="N35" s="19"/>
      <c r="O35" s="19"/>
      <c r="P35" s="19"/>
      <c r="Q35" s="19"/>
      <c r="R35" s="19"/>
      <c r="S35" s="19"/>
      <c r="T35" s="19"/>
      <c r="U35" s="19"/>
      <c r="V35" s="19"/>
      <c r="W35" s="19"/>
      <c r="X35" s="19"/>
      <c r="Y35" s="19"/>
      <c r="Z35" s="19"/>
    </row>
    <row r="36" spans="1:26" ht="13.5" customHeight="1" thickBot="1" x14ac:dyDescent="0.5">
      <c r="A36" s="372" t="s">
        <v>437</v>
      </c>
      <c r="B36" s="373"/>
      <c r="C36" s="374"/>
      <c r="D36" s="374"/>
      <c r="E36" s="374"/>
      <c r="F36" s="375">
        <f>F34++F35</f>
        <v>0</v>
      </c>
      <c r="G36" s="19"/>
      <c r="H36" s="19"/>
      <c r="I36" s="19"/>
      <c r="J36" s="19"/>
      <c r="K36" s="19"/>
      <c r="L36" s="19"/>
      <c r="M36" s="19"/>
      <c r="N36" s="19"/>
      <c r="O36" s="19"/>
      <c r="P36" s="19"/>
      <c r="Q36" s="19"/>
      <c r="R36" s="19"/>
      <c r="S36" s="19"/>
      <c r="T36" s="19"/>
      <c r="U36" s="19"/>
      <c r="V36" s="19"/>
      <c r="W36" s="19"/>
      <c r="X36" s="19"/>
      <c r="Y36" s="19"/>
      <c r="Z36" s="19"/>
    </row>
    <row r="37" spans="1:26" ht="13.5" customHeight="1" x14ac:dyDescent="0.45">
      <c r="A37" s="122"/>
      <c r="B37" s="122"/>
      <c r="C37" s="122"/>
      <c r="D37" s="122"/>
      <c r="E37" s="122"/>
      <c r="F37" s="122"/>
      <c r="G37" s="19"/>
      <c r="H37" s="19"/>
      <c r="I37" s="19"/>
      <c r="J37" s="19"/>
      <c r="K37" s="122"/>
      <c r="L37" s="122"/>
      <c r="M37" s="19"/>
      <c r="N37" s="19"/>
      <c r="O37" s="19"/>
      <c r="P37" s="19"/>
      <c r="Q37" s="19"/>
      <c r="R37" s="19"/>
      <c r="S37" s="19"/>
      <c r="T37" s="19"/>
      <c r="U37" s="19"/>
      <c r="V37" s="19"/>
      <c r="W37" s="19"/>
      <c r="X37" s="19"/>
      <c r="Y37" s="19"/>
      <c r="Z37" s="19"/>
    </row>
    <row r="38" spans="1:26" s="134" customFormat="1" ht="18" x14ac:dyDescent="0.45">
      <c r="A38" s="135" t="s">
        <v>439</v>
      </c>
      <c r="B38" s="136"/>
      <c r="C38" s="136"/>
      <c r="D38" s="136"/>
      <c r="E38" s="136"/>
      <c r="F38" s="137">
        <f>F36+F30</f>
        <v>92224.000000000015</v>
      </c>
      <c r="G38" s="133"/>
      <c r="H38" s="133"/>
      <c r="I38" s="133"/>
      <c r="J38" s="133"/>
      <c r="K38" s="133"/>
      <c r="L38" s="133"/>
      <c r="M38" s="133"/>
      <c r="N38" s="133"/>
      <c r="O38" s="133"/>
      <c r="P38" s="133"/>
      <c r="Q38" s="133"/>
      <c r="R38" s="133"/>
      <c r="S38" s="133"/>
      <c r="T38" s="133"/>
      <c r="U38" s="133"/>
      <c r="V38" s="133"/>
      <c r="W38" s="133"/>
      <c r="X38" s="133"/>
      <c r="Y38" s="133"/>
      <c r="Z38" s="133"/>
    </row>
    <row r="39" spans="1:26" ht="13.5" customHeight="1" x14ac:dyDescent="0.45">
      <c r="A39" s="31"/>
      <c r="C39" s="19"/>
      <c r="D39" s="19"/>
      <c r="E39" s="19"/>
      <c r="F39" s="19"/>
      <c r="G39" s="19"/>
      <c r="H39" s="19"/>
      <c r="I39" s="122"/>
      <c r="J39" s="122"/>
      <c r="K39" s="19"/>
      <c r="L39" s="19"/>
      <c r="M39" s="19"/>
      <c r="N39" s="19"/>
      <c r="O39" s="19"/>
      <c r="P39" s="19"/>
      <c r="Q39" s="19"/>
      <c r="R39" s="19"/>
      <c r="S39" s="19"/>
      <c r="T39" s="19"/>
      <c r="U39" s="19"/>
      <c r="V39" s="19"/>
      <c r="W39" s="19"/>
      <c r="X39" s="19"/>
      <c r="Y39" s="19"/>
      <c r="Z39" s="19"/>
    </row>
    <row r="40" spans="1:26" ht="13.5" customHeight="1" x14ac:dyDescent="0.45">
      <c r="A40" s="32"/>
      <c r="C40" s="19"/>
      <c r="D40" s="19"/>
      <c r="E40" s="19"/>
      <c r="F40" s="19"/>
      <c r="G40" s="19"/>
      <c r="H40" s="19"/>
      <c r="I40" s="122"/>
      <c r="J40" s="122"/>
      <c r="K40" s="19"/>
      <c r="L40" s="19"/>
      <c r="M40" s="19"/>
      <c r="N40" s="19"/>
      <c r="O40" s="19"/>
      <c r="P40" s="19"/>
      <c r="Q40" s="19"/>
      <c r="R40" s="19"/>
      <c r="S40" s="19"/>
      <c r="T40" s="19"/>
      <c r="U40" s="19"/>
      <c r="V40" s="19"/>
      <c r="W40" s="19"/>
      <c r="X40" s="19"/>
      <c r="Y40" s="19"/>
      <c r="Z40" s="19"/>
    </row>
    <row r="41" spans="1:26" ht="15.9" x14ac:dyDescent="0.45">
      <c r="A41" s="465"/>
      <c r="B41" s="466"/>
      <c r="C41" s="466"/>
      <c r="D41" s="466"/>
      <c r="E41" s="466"/>
      <c r="F41" s="466"/>
      <c r="G41" s="19"/>
      <c r="H41" s="19"/>
      <c r="I41" s="19"/>
      <c r="J41" s="19"/>
      <c r="K41" s="19"/>
      <c r="L41" s="19"/>
      <c r="M41" s="19"/>
      <c r="N41" s="19"/>
      <c r="O41" s="19"/>
      <c r="P41" s="19"/>
      <c r="Q41" s="19"/>
      <c r="R41" s="19"/>
      <c r="S41" s="19"/>
      <c r="T41" s="19"/>
      <c r="U41" s="19"/>
      <c r="V41" s="19"/>
      <c r="W41" s="19"/>
      <c r="X41" s="19"/>
      <c r="Y41" s="19"/>
      <c r="Z41" s="19"/>
    </row>
    <row r="42" spans="1:26" ht="13.5" customHeight="1" x14ac:dyDescent="0.4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22.75" hidden="1" customHeight="1" x14ac:dyDescent="0.5">
      <c r="A43" s="472" t="s">
        <v>446</v>
      </c>
      <c r="B43" s="468"/>
      <c r="C43" s="360"/>
      <c r="D43" s="360"/>
      <c r="E43" s="360"/>
      <c r="F43" s="417"/>
      <c r="G43" s="19"/>
      <c r="H43" s="19"/>
      <c r="I43" s="19"/>
      <c r="J43" s="19"/>
      <c r="K43" s="19"/>
      <c r="L43" s="19"/>
      <c r="M43" s="19"/>
      <c r="N43" s="19"/>
      <c r="O43" s="19"/>
      <c r="P43" s="19"/>
      <c r="Q43" s="19"/>
      <c r="R43" s="19"/>
      <c r="S43" s="19"/>
      <c r="T43" s="19"/>
      <c r="U43" s="19"/>
      <c r="V43" s="19"/>
      <c r="W43" s="19"/>
      <c r="X43" s="19"/>
      <c r="Y43" s="19"/>
      <c r="Z43" s="19"/>
    </row>
    <row r="44" spans="1:26" ht="13.5" hidden="1" customHeight="1" x14ac:dyDescent="0.45">
      <c r="A44" s="418" t="s">
        <v>450</v>
      </c>
      <c r="B44" s="361"/>
      <c r="C44" s="361"/>
      <c r="D44" s="361" t="s">
        <v>447</v>
      </c>
      <c r="E44" s="361" t="s">
        <v>448</v>
      </c>
      <c r="F44" s="419"/>
      <c r="G44" s="19"/>
      <c r="H44" s="19"/>
      <c r="I44" s="19"/>
      <c r="J44" s="19"/>
      <c r="K44" s="19"/>
      <c r="L44" s="19"/>
      <c r="M44" s="19"/>
      <c r="N44" s="19"/>
      <c r="O44" s="19"/>
      <c r="P44" s="19"/>
      <c r="Q44" s="19"/>
      <c r="R44" s="19"/>
      <c r="S44" s="19"/>
      <c r="T44" s="19"/>
      <c r="U44" s="19"/>
      <c r="V44" s="19"/>
      <c r="W44" s="19"/>
      <c r="X44" s="19"/>
      <c r="Y44" s="19"/>
      <c r="Z44" s="19"/>
    </row>
    <row r="45" spans="1:26" ht="13.5" hidden="1" customHeight="1" x14ac:dyDescent="0.45">
      <c r="A45" s="420"/>
      <c r="B45" s="421"/>
      <c r="C45" s="421"/>
      <c r="D45" s="421">
        <v>48</v>
      </c>
      <c r="E45" s="423">
        <f>F30/D45/2</f>
        <v>960.66666666666686</v>
      </c>
      <c r="F45" s="422"/>
      <c r="G45" s="19"/>
      <c r="H45" s="19"/>
      <c r="I45" s="19"/>
      <c r="J45" s="19"/>
      <c r="K45" s="19"/>
      <c r="L45" s="19"/>
      <c r="M45" s="19"/>
      <c r="N45" s="19"/>
      <c r="O45" s="19"/>
      <c r="P45" s="19"/>
      <c r="Q45" s="19"/>
      <c r="R45" s="19"/>
      <c r="S45" s="19"/>
      <c r="T45" s="19"/>
      <c r="U45" s="19"/>
      <c r="V45" s="19"/>
      <c r="W45" s="19"/>
      <c r="X45" s="19"/>
      <c r="Y45" s="19"/>
      <c r="Z45" s="19"/>
    </row>
    <row r="46" spans="1:26" ht="13.5" hidden="1" customHeight="1" x14ac:dyDescent="0.45">
      <c r="A46" s="418" t="s">
        <v>451</v>
      </c>
      <c r="B46" s="361"/>
      <c r="C46" s="361"/>
      <c r="D46" s="361"/>
      <c r="E46" s="361"/>
      <c r="F46" s="419"/>
      <c r="G46" s="19"/>
      <c r="H46" s="19"/>
      <c r="I46" s="19"/>
      <c r="J46" s="19"/>
      <c r="K46" s="19"/>
      <c r="L46" s="19"/>
      <c r="M46" s="19"/>
      <c r="N46" s="19"/>
      <c r="O46" s="19"/>
      <c r="P46" s="19"/>
      <c r="Q46" s="19"/>
      <c r="R46" s="19"/>
      <c r="S46" s="19"/>
      <c r="T46" s="19"/>
      <c r="U46" s="19"/>
      <c r="V46" s="19"/>
      <c r="W46" s="19"/>
      <c r="X46" s="19"/>
      <c r="Y46" s="19"/>
      <c r="Z46" s="19"/>
    </row>
    <row r="47" spans="1:26" ht="13.5" hidden="1" customHeight="1" x14ac:dyDescent="0.45">
      <c r="A47" s="420"/>
      <c r="B47" s="421"/>
      <c r="C47" s="421"/>
      <c r="D47" s="421">
        <v>60</v>
      </c>
      <c r="E47" s="423">
        <f>F30/D47/2</f>
        <v>768.53333333333342</v>
      </c>
      <c r="F47" s="422"/>
      <c r="G47" s="19"/>
      <c r="H47" s="19"/>
      <c r="I47" s="19"/>
      <c r="J47" s="19"/>
      <c r="K47" s="19"/>
      <c r="L47" s="19"/>
      <c r="M47" s="19"/>
      <c r="N47" s="19"/>
      <c r="O47" s="19"/>
      <c r="P47" s="19"/>
      <c r="Q47" s="19"/>
      <c r="R47" s="19"/>
      <c r="S47" s="19"/>
      <c r="T47" s="19"/>
      <c r="U47" s="19"/>
      <c r="V47" s="19"/>
      <c r="W47" s="19"/>
      <c r="X47" s="19"/>
      <c r="Y47" s="19"/>
      <c r="Z47" s="19"/>
    </row>
    <row r="48" spans="1:26" ht="13.5" hidden="1" customHeight="1" x14ac:dyDescent="0.45">
      <c r="A48" s="122"/>
      <c r="B48" s="122"/>
      <c r="C48" s="122"/>
      <c r="D48" s="122"/>
      <c r="E48" s="122"/>
      <c r="F48" s="122"/>
      <c r="G48" s="19"/>
      <c r="H48" s="19"/>
      <c r="I48" s="19"/>
      <c r="J48" s="19"/>
      <c r="K48" s="19"/>
      <c r="L48" s="19"/>
      <c r="M48" s="19"/>
      <c r="N48" s="19"/>
      <c r="O48" s="19"/>
      <c r="P48" s="19"/>
      <c r="Q48" s="19"/>
      <c r="R48" s="19"/>
      <c r="S48" s="19"/>
      <c r="T48" s="19"/>
      <c r="U48" s="19"/>
      <c r="V48" s="19"/>
      <c r="W48" s="19"/>
      <c r="X48" s="19"/>
      <c r="Y48" s="19"/>
      <c r="Z48" s="19"/>
    </row>
    <row r="49" spans="1:26" ht="13.5" hidden="1" customHeight="1" x14ac:dyDescent="0.45">
      <c r="A49" s="465" t="s">
        <v>449</v>
      </c>
      <c r="B49" s="466"/>
      <c r="C49" s="466"/>
      <c r="D49" s="466"/>
      <c r="E49" s="466"/>
      <c r="F49" s="466"/>
      <c r="G49" s="19"/>
      <c r="H49" s="19"/>
      <c r="I49" s="19"/>
      <c r="J49" s="19"/>
      <c r="K49" s="19"/>
      <c r="L49" s="19"/>
      <c r="M49" s="19"/>
      <c r="N49" s="19"/>
      <c r="O49" s="19"/>
      <c r="P49" s="19"/>
      <c r="Q49" s="19"/>
      <c r="R49" s="19"/>
      <c r="S49" s="19"/>
      <c r="T49" s="19"/>
      <c r="U49" s="19"/>
      <c r="V49" s="19"/>
      <c r="W49" s="19"/>
      <c r="X49" s="19"/>
      <c r="Y49" s="19"/>
      <c r="Z49" s="19"/>
    </row>
    <row r="50" spans="1:26" ht="13.5" customHeight="1" x14ac:dyDescent="0.4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4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4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4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4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4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4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4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4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4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4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4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4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4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4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4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4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4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4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4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4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4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4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4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4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4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4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4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4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4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4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4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4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4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4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4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4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4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4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4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4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4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4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4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4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4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4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4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4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4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4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4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4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4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4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4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4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4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4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4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4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4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4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4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4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4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4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4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4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4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4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4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4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4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4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4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4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4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4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4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4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4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4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4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4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4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4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4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4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4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4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4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4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4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4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4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4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4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4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4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4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4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4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4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4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4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4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4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4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4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4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4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4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4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4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4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4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4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4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4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4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4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4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4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4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4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4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4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4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4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4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4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4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4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4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4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4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4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4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4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4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4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4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4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4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4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4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4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4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4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4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4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4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4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4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4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4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4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4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4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4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4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4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4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4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4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4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4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4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4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4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4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4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4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4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4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4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4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4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4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4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4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4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4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4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4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4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4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4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4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4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4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4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4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4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4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4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4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4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4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4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4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4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4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4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4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4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4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4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4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4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4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4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4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4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4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4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4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4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4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4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4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4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4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4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4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4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4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4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4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4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4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4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4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4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4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4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4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4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4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4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4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4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4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4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4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4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4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4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4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4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4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4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4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4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4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4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4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4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4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4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4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4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4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4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4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4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4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4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4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4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4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4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4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4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4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4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4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4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4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4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4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4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4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4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4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4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4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4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4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4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4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4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4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4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4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4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4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4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4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4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4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4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4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4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4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4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4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4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4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4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4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4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4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4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4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4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4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4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4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4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4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4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4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4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4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4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4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4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4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4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4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4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4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4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4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4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4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4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4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4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4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4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4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4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4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4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4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4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4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4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4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4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4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4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4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4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4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4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4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4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4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4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4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4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4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4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4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4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4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4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4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4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4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4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4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4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4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4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4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4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4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4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4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4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4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4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4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4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4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4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4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4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4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4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4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4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4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4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4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4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4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4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4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4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4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4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4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4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4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4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4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4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4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4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4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4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4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4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4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4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4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4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4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4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4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4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4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4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4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4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4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4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4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4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4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4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4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4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4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4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4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4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4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4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4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4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4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4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4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4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4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4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4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4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4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4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4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4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4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4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4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4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4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4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4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4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4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4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4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4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4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4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4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4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4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4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4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4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4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4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4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4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4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4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4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4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4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4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4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4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4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4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4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4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4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4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4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4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4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4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4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4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4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4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4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4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4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4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4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4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4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4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4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4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4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4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4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4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4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4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4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4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4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4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4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4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4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4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4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4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4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4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4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4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4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4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4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4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4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4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4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4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4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4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4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4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4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4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4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4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4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4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4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4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4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4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4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4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4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4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4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4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4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4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4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4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4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4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4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4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4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4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4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4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4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4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4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4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4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4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4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4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4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4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4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4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4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4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4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4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4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4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4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4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4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4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4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4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4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4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4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4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4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4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4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4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4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4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4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4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4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4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4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4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4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4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4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4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4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4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4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4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4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4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4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4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4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4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4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4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4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4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4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4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4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4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4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4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4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4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4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4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4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4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4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4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4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4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4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4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4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4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4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4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4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4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4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4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4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4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4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4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4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4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4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4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4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4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4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4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4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4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4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4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4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4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4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4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4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4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4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4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4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4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4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4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4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4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4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4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4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4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4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4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4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4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4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4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4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4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4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4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4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4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4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4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4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4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4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4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4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4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4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4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4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4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4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4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4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4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4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4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4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4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4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4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4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4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4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4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4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4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4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4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4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4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4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4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4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4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4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4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4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4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4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4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4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4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4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4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4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4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4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4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4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4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4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4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4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4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4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4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4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4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4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4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4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4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4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4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4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4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4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4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4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4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4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4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4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4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4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4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4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4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4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4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4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4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4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4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4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4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4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4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4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4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4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4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4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4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4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4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4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4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4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4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4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4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4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4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4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4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4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4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4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4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4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4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4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4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4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4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4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4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4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4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4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4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4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4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4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4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4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4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4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4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4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4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4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4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4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4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4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4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4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4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4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4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4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4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4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4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4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4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4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4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4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4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4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4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4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4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4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4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4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4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4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4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4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4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4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4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4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4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4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4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4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4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4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4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4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4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4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4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4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4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4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4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4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4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4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4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4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4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4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4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4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4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4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4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4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4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4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4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4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4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4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4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4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4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4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4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4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4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4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4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4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4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4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4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4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4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4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4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4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4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4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4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4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4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4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4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4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4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4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4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4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4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4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6">
    <mergeCell ref="A1:F1"/>
    <mergeCell ref="A49:F49"/>
    <mergeCell ref="A17:B17"/>
    <mergeCell ref="A41:F41"/>
    <mergeCell ref="A33:F33"/>
    <mergeCell ref="A43:B43"/>
  </mergeCells>
  <pageMargins left="0.7" right="0.7" top="0.75" bottom="0.75"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D1003"/>
  <sheetViews>
    <sheetView tabSelected="1" topLeftCell="B1" zoomScaleNormal="100" workbookViewId="0">
      <selection activeCell="H193" sqref="H193"/>
    </sheetView>
  </sheetViews>
  <sheetFormatPr defaultColWidth="11.140625" defaultRowHeight="15" customHeight="1" x14ac:dyDescent="0.45"/>
  <cols>
    <col min="1" max="1" width="10.140625" style="142" hidden="1" customWidth="1"/>
    <col min="2" max="2" width="9.35546875" style="142" customWidth="1"/>
    <col min="3" max="3" width="79.640625" style="447" customWidth="1"/>
    <col min="4" max="4" width="6.640625" style="142" customWidth="1"/>
    <col min="5" max="5" width="6.35546875" style="142" bestFit="1" customWidth="1"/>
    <col min="6" max="6" width="10.140625" style="142" customWidth="1"/>
    <col min="7" max="7" width="16.5" style="142" bestFit="1" customWidth="1"/>
    <col min="8" max="8" width="47.140625" style="142" customWidth="1"/>
    <col min="9" max="9" width="9.640625" style="142" hidden="1" customWidth="1"/>
    <col min="10" max="10" width="9" style="236" hidden="1" customWidth="1"/>
    <col min="11" max="12" width="18.85546875" style="236" hidden="1" customWidth="1"/>
    <col min="13" max="13" width="7.640625" style="236" hidden="1" customWidth="1"/>
    <col min="14" max="14" width="25.640625" style="236" hidden="1" customWidth="1"/>
    <col min="15" max="15" width="12.140625" style="236" hidden="1" customWidth="1"/>
    <col min="16" max="16" width="10.640625" style="236" hidden="1" customWidth="1"/>
    <col min="17" max="17" width="11.140625" style="142" hidden="1" customWidth="1"/>
    <col min="18" max="19" width="0" style="142" hidden="1" customWidth="1"/>
    <col min="20" max="20" width="33" style="142" bestFit="1" customWidth="1"/>
    <col min="21" max="21" width="11.140625" style="142"/>
    <col min="22" max="28" width="0" style="142" hidden="1" customWidth="1"/>
    <col min="29" max="16384" width="11.140625" style="142"/>
  </cols>
  <sheetData>
    <row r="1" spans="2:30" ht="23.25" customHeight="1" x14ac:dyDescent="0.45">
      <c r="B1" s="138"/>
      <c r="C1" s="426" t="s">
        <v>455</v>
      </c>
      <c r="D1" s="139"/>
      <c r="E1" s="139"/>
      <c r="F1" s="140"/>
      <c r="G1" s="291"/>
      <c r="H1" s="141"/>
      <c r="J1" s="235"/>
      <c r="K1" s="235"/>
      <c r="L1" s="235"/>
    </row>
    <row r="2" spans="2:30" ht="18" customHeight="1" x14ac:dyDescent="0.45">
      <c r="B2" s="143"/>
      <c r="C2" s="427"/>
      <c r="D2" s="143"/>
      <c r="E2" s="143"/>
      <c r="F2" s="143"/>
      <c r="G2" s="145" t="str">
        <f>'Analisi preliminareTOTALI'!F3</f>
        <v>Data : 29/05/2025</v>
      </c>
      <c r="J2" s="235"/>
      <c r="K2" s="235"/>
      <c r="L2" s="235"/>
    </row>
    <row r="3" spans="2:30" ht="15.9" x14ac:dyDescent="0.45">
      <c r="B3" s="143"/>
      <c r="C3" s="428"/>
      <c r="D3" s="143"/>
      <c r="E3" s="144"/>
      <c r="F3" s="144"/>
      <c r="J3" s="235"/>
      <c r="K3" s="235"/>
      <c r="L3" s="235"/>
    </row>
    <row r="4" spans="2:30" ht="15" customHeight="1" x14ac:dyDescent="0.45">
      <c r="B4" s="475" t="s">
        <v>454</v>
      </c>
      <c r="C4" s="476"/>
      <c r="D4" s="476"/>
      <c r="E4" s="476"/>
      <c r="F4" s="476"/>
      <c r="G4" s="476"/>
      <c r="J4" s="235"/>
      <c r="K4" s="235"/>
      <c r="L4" s="235"/>
    </row>
    <row r="5" spans="2:30" ht="24.75" customHeight="1" thickBot="1" x14ac:dyDescent="0.5">
      <c r="B5" s="477"/>
      <c r="C5" s="477"/>
      <c r="D5" s="477"/>
      <c r="E5" s="477"/>
      <c r="F5" s="477"/>
      <c r="G5" s="477"/>
      <c r="J5" s="235"/>
      <c r="K5" s="235"/>
      <c r="L5" s="235"/>
    </row>
    <row r="6" spans="2:30" ht="15" customHeight="1" thickBot="1" x14ac:dyDescent="0.5">
      <c r="B6" s="292" t="s">
        <v>1</v>
      </c>
      <c r="C6" s="293"/>
      <c r="D6" s="294"/>
      <c r="E6" s="294"/>
      <c r="F6" s="294"/>
      <c r="G6" s="295"/>
      <c r="H6" s="146"/>
      <c r="J6" s="235"/>
      <c r="K6" s="235"/>
      <c r="L6" s="235"/>
    </row>
    <row r="7" spans="2:30" ht="15" customHeight="1" x14ac:dyDescent="0.45">
      <c r="B7" s="147"/>
      <c r="C7" s="146"/>
      <c r="D7" s="148"/>
      <c r="E7" s="148"/>
      <c r="F7" s="148"/>
      <c r="G7" s="149"/>
      <c r="H7" s="146"/>
      <c r="J7" s="235"/>
      <c r="K7" s="235"/>
      <c r="L7" s="235"/>
    </row>
    <row r="8" spans="2:30" ht="15.9" x14ac:dyDescent="0.45">
      <c r="B8" s="150" t="str">
        <f>'Analisi preliminareTOTALI'!A8</f>
        <v>Cliente caso 04</v>
      </c>
      <c r="C8" s="429"/>
      <c r="D8" s="151"/>
      <c r="E8" s="151"/>
      <c r="F8" s="151"/>
      <c r="G8" s="152"/>
      <c r="H8" s="153"/>
      <c r="I8" s="146"/>
      <c r="J8" s="235"/>
      <c r="K8" s="235"/>
      <c r="L8" s="235"/>
    </row>
    <row r="9" spans="2:30" ht="15.9" x14ac:dyDescent="0.45">
      <c r="B9" s="154" t="str">
        <f>'Analisi preliminareTOTALI'!A9</f>
        <v>Indirizzo</v>
      </c>
      <c r="C9" s="427"/>
      <c r="D9" s="151"/>
      <c r="E9" s="151"/>
      <c r="F9" s="151"/>
      <c r="G9" s="152"/>
      <c r="H9" s="153"/>
      <c r="I9" s="146"/>
      <c r="J9" s="235"/>
      <c r="K9" s="235"/>
      <c r="L9" s="235"/>
    </row>
    <row r="10" spans="2:30" ht="15.9" x14ac:dyDescent="0.45">
      <c r="B10" s="154" t="str">
        <f>'Analisi preliminareTOTALI'!A10</f>
        <v>Reggio Emilia (RE)</v>
      </c>
      <c r="C10" s="427"/>
      <c r="D10" s="151"/>
      <c r="E10" s="151"/>
      <c r="F10" s="151"/>
      <c r="G10" s="152"/>
      <c r="H10" s="146"/>
      <c r="J10" s="235"/>
      <c r="K10" s="235"/>
      <c r="L10" s="235"/>
    </row>
    <row r="11" spans="2:30" ht="15.9" hidden="1" x14ac:dyDescent="0.45">
      <c r="B11" s="154">
        <f>'Analisi preliminareTOTALI'!A11</f>
        <v>0</v>
      </c>
      <c r="C11" s="427"/>
      <c r="D11" s="151"/>
      <c r="E11" s="151"/>
      <c r="F11" s="151"/>
      <c r="G11" s="152"/>
      <c r="H11" s="146"/>
      <c r="J11" s="235"/>
      <c r="K11" s="235"/>
      <c r="L11" s="235"/>
    </row>
    <row r="12" spans="2:30" ht="15.9" hidden="1" x14ac:dyDescent="0.45">
      <c r="B12" s="154">
        <f>'Analisi preliminareTOTALI'!A12</f>
        <v>0</v>
      </c>
      <c r="C12" s="427"/>
      <c r="D12" s="151"/>
      <c r="E12" s="151"/>
      <c r="F12" s="151"/>
      <c r="G12" s="152"/>
      <c r="H12" s="146"/>
      <c r="J12" s="235"/>
      <c r="K12" s="235"/>
      <c r="L12" s="235"/>
    </row>
    <row r="13" spans="2:30" ht="15.9" hidden="1" x14ac:dyDescent="0.45">
      <c r="B13" s="155">
        <f>'Analisi preliminareTOTALI'!A13</f>
        <v>0</v>
      </c>
      <c r="C13" s="427"/>
      <c r="D13" s="156"/>
      <c r="E13" s="156"/>
      <c r="F13" s="156"/>
      <c r="G13" s="157"/>
      <c r="H13" s="146"/>
      <c r="J13" s="235"/>
      <c r="K13" s="235"/>
      <c r="L13" s="235"/>
      <c r="N13" s="237"/>
      <c r="O13" s="237"/>
      <c r="P13" s="237"/>
      <c r="AD13" s="163"/>
    </row>
    <row r="14" spans="2:30" ht="16.3" thickBot="1" x14ac:dyDescent="0.5">
      <c r="B14" s="296"/>
      <c r="C14" s="297"/>
      <c r="D14" s="298"/>
      <c r="E14" s="299"/>
      <c r="F14" s="299"/>
      <c r="G14" s="300"/>
      <c r="H14" s="146"/>
      <c r="J14" s="235"/>
      <c r="K14" s="235"/>
      <c r="L14" s="235"/>
    </row>
    <row r="15" spans="2:30" ht="15" customHeight="1" thickBot="1" x14ac:dyDescent="0.5">
      <c r="B15" s="292" t="s">
        <v>436</v>
      </c>
      <c r="C15" s="293"/>
      <c r="D15" s="294"/>
      <c r="E15" s="294"/>
      <c r="F15" s="294"/>
      <c r="G15" s="295"/>
      <c r="H15" s="146"/>
      <c r="J15" s="235"/>
      <c r="K15" s="235"/>
      <c r="L15" s="235"/>
    </row>
    <row r="16" spans="2:30" ht="15" customHeight="1" x14ac:dyDescent="0.45">
      <c r="B16" s="484" t="s">
        <v>478</v>
      </c>
      <c r="C16" s="485"/>
      <c r="D16" s="485"/>
      <c r="E16" s="485"/>
      <c r="F16" s="485"/>
      <c r="G16" s="486"/>
      <c r="H16" s="146"/>
      <c r="J16" s="235"/>
      <c r="K16" s="235"/>
      <c r="L16" s="235"/>
    </row>
    <row r="17" spans="1:16" ht="15.9" x14ac:dyDescent="0.45">
      <c r="B17" s="487"/>
      <c r="C17" s="488"/>
      <c r="D17" s="488"/>
      <c r="E17" s="488"/>
      <c r="F17" s="488"/>
      <c r="G17" s="489"/>
      <c r="H17" s="153"/>
      <c r="I17" s="146"/>
      <c r="J17" s="235"/>
      <c r="K17" s="235"/>
      <c r="L17" s="235"/>
    </row>
    <row r="18" spans="1:16" ht="15.9" x14ac:dyDescent="0.45">
      <c r="B18" s="487"/>
      <c r="C18" s="488"/>
      <c r="D18" s="488"/>
      <c r="E18" s="488"/>
      <c r="F18" s="488"/>
      <c r="G18" s="489"/>
      <c r="H18" s="153"/>
      <c r="I18" s="146"/>
      <c r="J18" s="235"/>
      <c r="K18" s="235"/>
      <c r="L18" s="235"/>
    </row>
    <row r="19" spans="1:16" ht="15.9" hidden="1" x14ac:dyDescent="0.45">
      <c r="B19" s="487"/>
      <c r="C19" s="488"/>
      <c r="D19" s="488"/>
      <c r="E19" s="488"/>
      <c r="F19" s="488"/>
      <c r="G19" s="489"/>
      <c r="H19" s="146"/>
      <c r="J19" s="235"/>
      <c r="K19" s="235"/>
      <c r="L19" s="235"/>
    </row>
    <row r="20" spans="1:16" ht="15.9" hidden="1" x14ac:dyDescent="0.45">
      <c r="B20" s="487"/>
      <c r="C20" s="488"/>
      <c r="D20" s="488"/>
      <c r="E20" s="488"/>
      <c r="F20" s="488"/>
      <c r="G20" s="489"/>
      <c r="H20" s="146"/>
      <c r="J20" s="235"/>
      <c r="K20" s="235"/>
      <c r="L20" s="235"/>
    </row>
    <row r="21" spans="1:16" ht="15.9" hidden="1" x14ac:dyDescent="0.45">
      <c r="B21" s="487"/>
      <c r="C21" s="488"/>
      <c r="D21" s="488"/>
      <c r="E21" s="488"/>
      <c r="F21" s="488"/>
      <c r="G21" s="489"/>
      <c r="H21" s="146"/>
      <c r="J21" s="235"/>
      <c r="K21" s="235"/>
      <c r="L21" s="235"/>
    </row>
    <row r="22" spans="1:16" ht="15.9" hidden="1" x14ac:dyDescent="0.45">
      <c r="B22" s="487"/>
      <c r="C22" s="488"/>
      <c r="D22" s="488"/>
      <c r="E22" s="488"/>
      <c r="F22" s="488"/>
      <c r="G22" s="489"/>
      <c r="H22" s="146"/>
      <c r="J22" s="235"/>
      <c r="K22" s="235"/>
      <c r="L22" s="235"/>
      <c r="N22" s="237"/>
      <c r="O22" s="237"/>
      <c r="P22" s="237"/>
    </row>
    <row r="23" spans="1:16" ht="15.9" hidden="1" x14ac:dyDescent="0.45">
      <c r="B23" s="490"/>
      <c r="C23" s="491"/>
      <c r="D23" s="491"/>
      <c r="E23" s="491"/>
      <c r="F23" s="491"/>
      <c r="G23" s="492"/>
      <c r="H23" s="146"/>
      <c r="J23" s="235"/>
      <c r="K23" s="235"/>
      <c r="L23" s="235"/>
    </row>
    <row r="24" spans="1:16" ht="9" customHeight="1" x14ac:dyDescent="0.45">
      <c r="B24" s="146"/>
      <c r="C24" s="146"/>
      <c r="D24" s="146"/>
      <c r="E24" s="143"/>
      <c r="F24" s="143"/>
      <c r="G24" s="146"/>
      <c r="H24" s="146"/>
      <c r="K24" s="238"/>
      <c r="L24" s="238"/>
    </row>
    <row r="25" spans="1:16" ht="18.75" customHeight="1" thickBot="1" x14ac:dyDescent="0.5">
      <c r="B25" s="158"/>
      <c r="C25" s="430" t="s">
        <v>9</v>
      </c>
      <c r="D25" s="159" t="s">
        <v>10</v>
      </c>
      <c r="E25" s="159" t="s">
        <v>11</v>
      </c>
      <c r="F25" s="160" t="s">
        <v>456</v>
      </c>
      <c r="G25" s="160" t="s">
        <v>13</v>
      </c>
      <c r="J25" s="236" t="s">
        <v>16</v>
      </c>
      <c r="K25" s="239" t="s">
        <v>17</v>
      </c>
      <c r="L25" s="239" t="s">
        <v>17</v>
      </c>
      <c r="N25" s="236" t="s">
        <v>18</v>
      </c>
      <c r="O25" s="236" t="s">
        <v>19</v>
      </c>
      <c r="P25" s="236" t="s">
        <v>20</v>
      </c>
    </row>
    <row r="26" spans="1:16" ht="25.75" thickBot="1" x14ac:dyDescent="0.5">
      <c r="B26" s="161" t="s">
        <v>21</v>
      </c>
      <c r="C26" s="450" t="s">
        <v>22</v>
      </c>
      <c r="D26" s="162"/>
      <c r="E26" s="162"/>
      <c r="F26" s="162"/>
      <c r="G26" s="301"/>
      <c r="H26" s="163" t="s">
        <v>23</v>
      </c>
      <c r="J26" s="236">
        <v>0.65</v>
      </c>
      <c r="K26" s="240" t="s">
        <v>12</v>
      </c>
      <c r="L26" s="241" t="s">
        <v>13</v>
      </c>
      <c r="M26" s="242" t="s">
        <v>24</v>
      </c>
    </row>
    <row r="27" spans="1:16" ht="55.5" customHeight="1" x14ac:dyDescent="0.45">
      <c r="A27" s="142" t="s">
        <v>25</v>
      </c>
      <c r="B27" s="164" t="s">
        <v>26</v>
      </c>
      <c r="C27" s="165" t="s">
        <v>457</v>
      </c>
      <c r="D27" s="166" t="s">
        <v>27</v>
      </c>
      <c r="E27" s="167">
        <v>1</v>
      </c>
      <c r="F27" s="168">
        <v>1500</v>
      </c>
      <c r="G27" s="169">
        <f>F27*E27</f>
        <v>1500</v>
      </c>
      <c r="H27" s="170" t="s">
        <v>469</v>
      </c>
      <c r="J27" s="243"/>
      <c r="K27" s="244">
        <f>F27*$J$26</f>
        <v>975</v>
      </c>
      <c r="L27" s="244">
        <f>E27*K27</f>
        <v>975</v>
      </c>
      <c r="N27" s="245">
        <f>G27*0.05</f>
        <v>75</v>
      </c>
      <c r="O27" s="246">
        <f>G27-L27-N27</f>
        <v>450</v>
      </c>
      <c r="P27" s="247">
        <f>O27/G27</f>
        <v>0.3</v>
      </c>
    </row>
    <row r="28" spans="1:16" ht="33" customHeight="1" x14ac:dyDescent="0.45">
      <c r="A28" s="142" t="s">
        <v>28</v>
      </c>
      <c r="B28" s="171" t="s">
        <v>29</v>
      </c>
      <c r="C28" s="165" t="s">
        <v>30</v>
      </c>
      <c r="D28" s="166" t="s">
        <v>27</v>
      </c>
      <c r="E28" s="167">
        <v>1</v>
      </c>
      <c r="F28" s="168">
        <v>150</v>
      </c>
      <c r="G28" s="168">
        <f>F28*E28</f>
        <v>150</v>
      </c>
      <c r="H28" s="170" t="s">
        <v>31</v>
      </c>
      <c r="K28" s="244">
        <f>F28*$J$26</f>
        <v>97.5</v>
      </c>
      <c r="L28" s="244">
        <f>E28*K28</f>
        <v>97.5</v>
      </c>
      <c r="N28" s="245">
        <f>G28*0.05</f>
        <v>7.5</v>
      </c>
      <c r="O28" s="246">
        <f>G28-L28-N28</f>
        <v>45</v>
      </c>
      <c r="P28" s="247">
        <f>O28/G28</f>
        <v>0.3</v>
      </c>
    </row>
    <row r="29" spans="1:16" ht="45" customHeight="1" x14ac:dyDescent="0.45">
      <c r="A29" s="142" t="s">
        <v>25</v>
      </c>
      <c r="B29" s="478" t="s">
        <v>32</v>
      </c>
      <c r="C29" s="172" t="s">
        <v>459</v>
      </c>
      <c r="D29" s="158"/>
      <c r="E29" s="158"/>
      <c r="F29" s="158"/>
      <c r="G29" s="169"/>
      <c r="H29" s="225" t="s">
        <v>33</v>
      </c>
      <c r="K29" s="244"/>
      <c r="L29" s="244"/>
      <c r="N29" s="245"/>
      <c r="O29" s="246"/>
      <c r="P29" s="247"/>
    </row>
    <row r="30" spans="1:16" ht="15" customHeight="1" x14ac:dyDescent="0.45">
      <c r="A30" s="142" t="s">
        <v>25</v>
      </c>
      <c r="B30" s="479"/>
      <c r="C30" s="172" t="s">
        <v>34</v>
      </c>
      <c r="D30" s="173" t="s">
        <v>15</v>
      </c>
      <c r="E30" s="174">
        <v>2</v>
      </c>
      <c r="F30" s="169">
        <v>40</v>
      </c>
      <c r="G30" s="169">
        <f t="shared" ref="G30:G39" si="0">F30*E30</f>
        <v>80</v>
      </c>
      <c r="H30" s="175"/>
      <c r="K30" s="244">
        <f>F30*$J$26</f>
        <v>26</v>
      </c>
      <c r="L30" s="244">
        <f t="shared" ref="L30:L39" si="1">E30*K30</f>
        <v>52</v>
      </c>
      <c r="N30" s="245">
        <f t="shared" ref="N30:N39" si="2">G30*0.05</f>
        <v>4</v>
      </c>
      <c r="O30" s="246">
        <f t="shared" ref="O30:O39" si="3">G30-L30-N30</f>
        <v>24</v>
      </c>
      <c r="P30" s="247">
        <f t="shared" ref="P30:P39" si="4">O30/G30</f>
        <v>0.3</v>
      </c>
    </row>
    <row r="31" spans="1:16" ht="15" customHeight="1" x14ac:dyDescent="0.45">
      <c r="A31" s="142" t="s">
        <v>25</v>
      </c>
      <c r="B31" s="479"/>
      <c r="C31" s="172" t="s">
        <v>35</v>
      </c>
      <c r="D31" s="173" t="s">
        <v>15</v>
      </c>
      <c r="E31" s="174">
        <v>2</v>
      </c>
      <c r="F31" s="169">
        <v>40</v>
      </c>
      <c r="G31" s="169">
        <f t="shared" si="0"/>
        <v>80</v>
      </c>
      <c r="H31" s="175"/>
      <c r="K31" s="244">
        <f t="shared" ref="K31:K39" si="5">F31*$J$26</f>
        <v>26</v>
      </c>
      <c r="L31" s="244">
        <f t="shared" si="1"/>
        <v>52</v>
      </c>
      <c r="N31" s="245">
        <f t="shared" si="2"/>
        <v>4</v>
      </c>
      <c r="O31" s="246">
        <f t="shared" si="3"/>
        <v>24</v>
      </c>
      <c r="P31" s="247">
        <f t="shared" si="4"/>
        <v>0.3</v>
      </c>
    </row>
    <row r="32" spans="1:16" ht="15" customHeight="1" x14ac:dyDescent="0.45">
      <c r="A32" s="142" t="s">
        <v>25</v>
      </c>
      <c r="B32" s="479"/>
      <c r="C32" s="172" t="s">
        <v>36</v>
      </c>
      <c r="D32" s="173" t="s">
        <v>15</v>
      </c>
      <c r="E32" s="174">
        <v>2</v>
      </c>
      <c r="F32" s="169">
        <v>40</v>
      </c>
      <c r="G32" s="169">
        <f t="shared" si="0"/>
        <v>80</v>
      </c>
      <c r="H32" s="175"/>
      <c r="K32" s="244">
        <f t="shared" si="5"/>
        <v>26</v>
      </c>
      <c r="L32" s="244">
        <f t="shared" si="1"/>
        <v>52</v>
      </c>
      <c r="N32" s="245">
        <f t="shared" si="2"/>
        <v>4</v>
      </c>
      <c r="O32" s="246">
        <f t="shared" si="3"/>
        <v>24</v>
      </c>
      <c r="P32" s="247">
        <f t="shared" si="4"/>
        <v>0.3</v>
      </c>
    </row>
    <row r="33" spans="1:20" ht="15" customHeight="1" x14ac:dyDescent="0.45">
      <c r="A33" s="142" t="s">
        <v>25</v>
      </c>
      <c r="B33" s="479"/>
      <c r="C33" s="172" t="s">
        <v>37</v>
      </c>
      <c r="D33" s="173" t="s">
        <v>15</v>
      </c>
      <c r="E33" s="174">
        <v>2</v>
      </c>
      <c r="F33" s="169">
        <v>40</v>
      </c>
      <c r="G33" s="169">
        <f t="shared" si="0"/>
        <v>80</v>
      </c>
      <c r="H33" s="175"/>
      <c r="K33" s="244">
        <f t="shared" si="5"/>
        <v>26</v>
      </c>
      <c r="L33" s="244">
        <f t="shared" si="1"/>
        <v>52</v>
      </c>
      <c r="N33" s="245">
        <f t="shared" si="2"/>
        <v>4</v>
      </c>
      <c r="O33" s="246">
        <f t="shared" si="3"/>
        <v>24</v>
      </c>
      <c r="P33" s="247">
        <f t="shared" si="4"/>
        <v>0.3</v>
      </c>
    </row>
    <row r="34" spans="1:20" ht="15" hidden="1" customHeight="1" x14ac:dyDescent="0.45">
      <c r="A34" s="142" t="s">
        <v>25</v>
      </c>
      <c r="B34" s="479"/>
      <c r="C34" s="172" t="s">
        <v>38</v>
      </c>
      <c r="D34" s="173" t="s">
        <v>15</v>
      </c>
      <c r="E34" s="174">
        <v>0</v>
      </c>
      <c r="F34" s="169">
        <v>40</v>
      </c>
      <c r="G34" s="169">
        <f t="shared" si="0"/>
        <v>0</v>
      </c>
      <c r="H34" s="175"/>
      <c r="K34" s="244">
        <f t="shared" si="5"/>
        <v>26</v>
      </c>
      <c r="L34" s="244">
        <f t="shared" si="1"/>
        <v>0</v>
      </c>
      <c r="N34" s="245">
        <f t="shared" si="2"/>
        <v>0</v>
      </c>
      <c r="O34" s="246">
        <f t="shared" si="3"/>
        <v>0</v>
      </c>
      <c r="P34" s="247" t="e">
        <f t="shared" si="4"/>
        <v>#DIV/0!</v>
      </c>
    </row>
    <row r="35" spans="1:20" ht="15" hidden="1" customHeight="1" x14ac:dyDescent="0.45">
      <c r="A35" s="142" t="s">
        <v>25</v>
      </c>
      <c r="B35" s="479"/>
      <c r="C35" s="172" t="s">
        <v>39</v>
      </c>
      <c r="D35" s="173" t="s">
        <v>15</v>
      </c>
      <c r="E35" s="174">
        <v>0</v>
      </c>
      <c r="F35" s="169">
        <v>40</v>
      </c>
      <c r="G35" s="169">
        <f t="shared" si="0"/>
        <v>0</v>
      </c>
      <c r="H35" s="175"/>
      <c r="K35" s="244">
        <f t="shared" si="5"/>
        <v>26</v>
      </c>
      <c r="L35" s="244">
        <f t="shared" si="1"/>
        <v>0</v>
      </c>
      <c r="N35" s="245">
        <f t="shared" si="2"/>
        <v>0</v>
      </c>
      <c r="O35" s="246">
        <f t="shared" si="3"/>
        <v>0</v>
      </c>
      <c r="P35" s="247" t="e">
        <f t="shared" si="4"/>
        <v>#DIV/0!</v>
      </c>
    </row>
    <row r="36" spans="1:20" ht="15" hidden="1" customHeight="1" x14ac:dyDescent="0.45">
      <c r="A36" s="142" t="s">
        <v>25</v>
      </c>
      <c r="B36" s="479"/>
      <c r="C36" s="172" t="s">
        <v>40</v>
      </c>
      <c r="D36" s="173" t="s">
        <v>15</v>
      </c>
      <c r="E36" s="174">
        <v>0</v>
      </c>
      <c r="F36" s="169">
        <v>40</v>
      </c>
      <c r="G36" s="169">
        <f t="shared" si="0"/>
        <v>0</v>
      </c>
      <c r="H36" s="175"/>
      <c r="K36" s="244">
        <f t="shared" si="5"/>
        <v>26</v>
      </c>
      <c r="L36" s="244">
        <f t="shared" si="1"/>
        <v>0</v>
      </c>
      <c r="N36" s="245">
        <f t="shared" si="2"/>
        <v>0</v>
      </c>
      <c r="O36" s="246">
        <f t="shared" si="3"/>
        <v>0</v>
      </c>
      <c r="P36" s="247" t="e">
        <f t="shared" si="4"/>
        <v>#DIV/0!</v>
      </c>
    </row>
    <row r="37" spans="1:20" ht="15" hidden="1" customHeight="1" x14ac:dyDescent="0.45">
      <c r="A37" s="142" t="s">
        <v>25</v>
      </c>
      <c r="B37" s="480"/>
      <c r="C37" s="172" t="s">
        <v>41</v>
      </c>
      <c r="D37" s="173" t="s">
        <v>15</v>
      </c>
      <c r="E37" s="174">
        <v>0</v>
      </c>
      <c r="F37" s="169">
        <v>40</v>
      </c>
      <c r="G37" s="169">
        <f t="shared" si="0"/>
        <v>0</v>
      </c>
      <c r="H37" s="175"/>
      <c r="K37" s="244">
        <f t="shared" si="5"/>
        <v>26</v>
      </c>
      <c r="L37" s="244">
        <f t="shared" si="1"/>
        <v>0</v>
      </c>
      <c r="N37" s="245">
        <f t="shared" si="2"/>
        <v>0</v>
      </c>
      <c r="O37" s="246">
        <f t="shared" si="3"/>
        <v>0</v>
      </c>
      <c r="P37" s="247" t="e">
        <f t="shared" si="4"/>
        <v>#DIV/0!</v>
      </c>
    </row>
    <row r="38" spans="1:20" ht="88.5" customHeight="1" x14ac:dyDescent="0.45">
      <c r="A38" s="142" t="s">
        <v>42</v>
      </c>
      <c r="B38" s="176" t="s">
        <v>43</v>
      </c>
      <c r="C38" s="177" t="s">
        <v>458</v>
      </c>
      <c r="D38" s="178" t="s">
        <v>27</v>
      </c>
      <c r="E38" s="302">
        <v>1</v>
      </c>
      <c r="F38" s="179">
        <v>300</v>
      </c>
      <c r="G38" s="179">
        <f t="shared" si="0"/>
        <v>300</v>
      </c>
      <c r="H38" s="170" t="s">
        <v>44</v>
      </c>
      <c r="K38" s="244">
        <f t="shared" si="5"/>
        <v>195</v>
      </c>
      <c r="L38" s="244">
        <f t="shared" si="1"/>
        <v>195</v>
      </c>
      <c r="N38" s="245">
        <f t="shared" si="2"/>
        <v>15</v>
      </c>
      <c r="O38" s="246">
        <f t="shared" si="3"/>
        <v>90</v>
      </c>
      <c r="P38" s="247">
        <f t="shared" si="4"/>
        <v>0.3</v>
      </c>
    </row>
    <row r="39" spans="1:20" ht="78.75" customHeight="1" x14ac:dyDescent="0.45">
      <c r="A39" s="142" t="s">
        <v>25</v>
      </c>
      <c r="B39" s="189" t="s">
        <v>45</v>
      </c>
      <c r="C39" s="172" t="s">
        <v>46</v>
      </c>
      <c r="D39" s="173" t="s">
        <v>15</v>
      </c>
      <c r="E39" s="174">
        <v>14</v>
      </c>
      <c r="F39" s="169">
        <v>50</v>
      </c>
      <c r="G39" s="169">
        <f t="shared" si="0"/>
        <v>700</v>
      </c>
      <c r="K39" s="244">
        <f t="shared" si="5"/>
        <v>32.5</v>
      </c>
      <c r="L39" s="244">
        <f t="shared" si="1"/>
        <v>455</v>
      </c>
      <c r="N39" s="245">
        <f t="shared" si="2"/>
        <v>35</v>
      </c>
      <c r="O39" s="246">
        <f t="shared" si="3"/>
        <v>210</v>
      </c>
      <c r="P39" s="247">
        <f t="shared" si="4"/>
        <v>0.3</v>
      </c>
    </row>
    <row r="40" spans="1:20" ht="45" customHeight="1" x14ac:dyDescent="0.45">
      <c r="A40" s="142" t="s">
        <v>25</v>
      </c>
      <c r="B40" s="493" t="s">
        <v>47</v>
      </c>
      <c r="C40" s="267" t="s">
        <v>48</v>
      </c>
      <c r="D40" s="166"/>
      <c r="E40" s="180"/>
      <c r="F40" s="168"/>
      <c r="G40" s="168"/>
      <c r="K40" s="244"/>
      <c r="L40" s="244"/>
      <c r="N40" s="245"/>
      <c r="O40" s="246"/>
      <c r="P40" s="247"/>
    </row>
    <row r="41" spans="1:20" ht="15.75" customHeight="1" x14ac:dyDescent="0.45">
      <c r="A41" s="142" t="s">
        <v>25</v>
      </c>
      <c r="B41" s="494"/>
      <c r="C41" s="268" t="s">
        <v>49</v>
      </c>
      <c r="D41" s="173"/>
      <c r="E41" s="174"/>
      <c r="F41" s="169"/>
      <c r="G41" s="169"/>
      <c r="K41" s="244"/>
      <c r="L41" s="244"/>
      <c r="N41" s="245"/>
      <c r="O41" s="246"/>
      <c r="P41" s="247"/>
    </row>
    <row r="42" spans="1:20" ht="15.9" x14ac:dyDescent="0.45">
      <c r="A42" s="142" t="s">
        <v>25</v>
      </c>
      <c r="B42" s="494"/>
      <c r="C42" s="268" t="s">
        <v>491</v>
      </c>
      <c r="D42" s="173" t="s">
        <v>15</v>
      </c>
      <c r="E42" s="174">
        <v>8</v>
      </c>
      <c r="F42" s="169">
        <v>80</v>
      </c>
      <c r="G42" s="169">
        <f>F42*E42</f>
        <v>640</v>
      </c>
      <c r="K42" s="244">
        <f>F42*$J$26</f>
        <v>52</v>
      </c>
      <c r="L42" s="244">
        <f>E42*K42</f>
        <v>416</v>
      </c>
      <c r="N42" s="245">
        <f>G42*0.05</f>
        <v>32</v>
      </c>
      <c r="O42" s="246">
        <f>G42-L42-N42</f>
        <v>192</v>
      </c>
      <c r="P42" s="247">
        <f>O42/G42</f>
        <v>0.3</v>
      </c>
    </row>
    <row r="43" spans="1:20" ht="15.9" hidden="1" x14ac:dyDescent="0.45">
      <c r="A43" s="142" t="s">
        <v>25</v>
      </c>
      <c r="B43" s="494"/>
      <c r="C43" s="268" t="s">
        <v>50</v>
      </c>
      <c r="D43" s="173" t="s">
        <v>15</v>
      </c>
      <c r="E43" s="174">
        <v>0</v>
      </c>
      <c r="F43" s="169">
        <v>51</v>
      </c>
      <c r="G43" s="169">
        <f>F43*E43</f>
        <v>0</v>
      </c>
      <c r="K43" s="244">
        <f>F43*$J$26</f>
        <v>33.15</v>
      </c>
      <c r="L43" s="244">
        <f>E43*K43</f>
        <v>0</v>
      </c>
      <c r="N43" s="245">
        <f>G43*0.05</f>
        <v>0</v>
      </c>
      <c r="O43" s="246">
        <f>G43-L43-N43</f>
        <v>0</v>
      </c>
      <c r="P43" s="247" t="e">
        <f>O43/G43</f>
        <v>#DIV/0!</v>
      </c>
    </row>
    <row r="44" spans="1:20" ht="15.75" hidden="1" customHeight="1" x14ac:dyDescent="0.45">
      <c r="A44" s="142" t="s">
        <v>25</v>
      </c>
      <c r="B44" s="495"/>
      <c r="C44" s="268" t="s">
        <v>51</v>
      </c>
      <c r="D44" s="173" t="s">
        <v>15</v>
      </c>
      <c r="E44" s="174">
        <v>0</v>
      </c>
      <c r="F44" s="169">
        <v>51</v>
      </c>
      <c r="G44" s="169">
        <f>F44*E44</f>
        <v>0</v>
      </c>
      <c r="K44" s="244">
        <f>F44*$J$26</f>
        <v>33.15</v>
      </c>
      <c r="L44" s="244">
        <f>E44*K44</f>
        <v>0</v>
      </c>
      <c r="N44" s="245">
        <f>G44*0.05</f>
        <v>0</v>
      </c>
      <c r="O44" s="246">
        <f>G44-L44-N44</f>
        <v>0</v>
      </c>
      <c r="P44" s="247" t="e">
        <f>O44/G44</f>
        <v>#DIV/0!</v>
      </c>
    </row>
    <row r="45" spans="1:20" ht="59.25" hidden="1" customHeight="1" x14ac:dyDescent="0.45">
      <c r="A45" s="142" t="s">
        <v>42</v>
      </c>
      <c r="B45" s="496" t="s">
        <v>52</v>
      </c>
      <c r="C45" s="172" t="s">
        <v>53</v>
      </c>
      <c r="D45" s="173"/>
      <c r="E45" s="174"/>
      <c r="F45" s="169"/>
      <c r="G45" s="169"/>
      <c r="K45" s="244"/>
      <c r="L45" s="244"/>
      <c r="N45" s="245"/>
      <c r="O45" s="246"/>
      <c r="P45" s="247"/>
    </row>
    <row r="46" spans="1:20" ht="15.75" hidden="1" customHeight="1" x14ac:dyDescent="0.45">
      <c r="A46" s="142" t="s">
        <v>42</v>
      </c>
      <c r="B46" s="479"/>
      <c r="C46" s="172" t="s">
        <v>54</v>
      </c>
      <c r="D46" s="173" t="s">
        <v>15</v>
      </c>
      <c r="E46" s="174">
        <v>0</v>
      </c>
      <c r="F46" s="169">
        <v>80</v>
      </c>
      <c r="G46" s="169">
        <f>F46*E46</f>
        <v>0</v>
      </c>
      <c r="K46" s="244">
        <f>F46*$J$26</f>
        <v>52</v>
      </c>
      <c r="L46" s="244">
        <f>E46*K46</f>
        <v>0</v>
      </c>
      <c r="N46" s="245">
        <f>G46*0.05</f>
        <v>0</v>
      </c>
      <c r="O46" s="246">
        <f>G46-L46-N46</f>
        <v>0</v>
      </c>
      <c r="P46" s="247" t="e">
        <f>O46/G46</f>
        <v>#DIV/0!</v>
      </c>
    </row>
    <row r="47" spans="1:20" ht="15.75" hidden="1" customHeight="1" x14ac:dyDescent="0.45">
      <c r="A47" s="142" t="s">
        <v>42</v>
      </c>
      <c r="B47" s="480"/>
      <c r="C47" s="172" t="s">
        <v>55</v>
      </c>
      <c r="D47" s="173" t="s">
        <v>15</v>
      </c>
      <c r="E47" s="174">
        <v>0</v>
      </c>
      <c r="F47" s="169">
        <v>80</v>
      </c>
      <c r="G47" s="169">
        <f>F47*E47</f>
        <v>0</v>
      </c>
      <c r="K47" s="244">
        <f>F47*$J$26</f>
        <v>52</v>
      </c>
      <c r="L47" s="244">
        <f>E47*K47</f>
        <v>0</v>
      </c>
      <c r="N47" s="245">
        <f>G47*0.05</f>
        <v>0</v>
      </c>
      <c r="O47" s="246">
        <f>G47-L47-N47</f>
        <v>0</v>
      </c>
      <c r="P47" s="247" t="e">
        <f>O47/G47</f>
        <v>#DIV/0!</v>
      </c>
    </row>
    <row r="48" spans="1:20" ht="125.15" customHeight="1" thickBot="1" x14ac:dyDescent="0.5">
      <c r="A48" s="142" t="s">
        <v>25</v>
      </c>
      <c r="B48" s="176" t="s">
        <v>56</v>
      </c>
      <c r="C48" s="177" t="s">
        <v>460</v>
      </c>
      <c r="D48" s="178" t="s">
        <v>57</v>
      </c>
      <c r="E48" s="302">
        <v>1</v>
      </c>
      <c r="F48" s="181">
        <v>2000</v>
      </c>
      <c r="G48" s="179">
        <f>F48*E48</f>
        <v>2000</v>
      </c>
      <c r="H48" s="170" t="s">
        <v>58</v>
      </c>
      <c r="K48" s="244">
        <f>F48*$J$26</f>
        <v>1300</v>
      </c>
      <c r="L48" s="248">
        <f>E48*K48</f>
        <v>1300</v>
      </c>
      <c r="N48" s="245">
        <f>G48*0.05</f>
        <v>100</v>
      </c>
      <c r="O48" s="246">
        <f>G48-L48-N48</f>
        <v>600</v>
      </c>
      <c r="P48" s="249">
        <f>O48/G48</f>
        <v>0.3</v>
      </c>
      <c r="T48" s="142" t="s">
        <v>472</v>
      </c>
    </row>
    <row r="49" spans="1:16" ht="29.25" customHeight="1" thickBot="1" x14ac:dyDescent="0.5">
      <c r="B49" s="182" t="s">
        <v>21</v>
      </c>
      <c r="C49" s="432" t="s">
        <v>59</v>
      </c>
      <c r="D49" s="183"/>
      <c r="E49" s="303"/>
      <c r="F49" s="184"/>
      <c r="G49" s="304">
        <f>SUM(G27:G48)</f>
        <v>5610</v>
      </c>
      <c r="K49" s="250"/>
      <c r="L49" s="251">
        <f>SUM(L27:L48)</f>
        <v>3646.5</v>
      </c>
      <c r="N49" s="252">
        <f>SUM(N27:N48)</f>
        <v>280.5</v>
      </c>
      <c r="O49" s="252">
        <f>SUM(O27:O48)</f>
        <v>1683</v>
      </c>
      <c r="P49" s="253" t="e">
        <f>O49/F49</f>
        <v>#DIV/0!</v>
      </c>
    </row>
    <row r="50" spans="1:16" ht="15.75" customHeight="1" x14ac:dyDescent="0.45">
      <c r="B50" s="305"/>
      <c r="C50" s="433"/>
      <c r="D50" s="306"/>
      <c r="E50" s="306"/>
      <c r="F50" s="306"/>
      <c r="G50" s="306"/>
      <c r="N50" s="254"/>
      <c r="O50" s="255"/>
      <c r="P50" s="243"/>
    </row>
    <row r="51" spans="1:16" ht="21.75" customHeight="1" x14ac:dyDescent="0.45">
      <c r="B51" s="307" t="s">
        <v>26</v>
      </c>
      <c r="C51" s="449" t="s">
        <v>60</v>
      </c>
      <c r="D51" s="308"/>
      <c r="E51" s="308"/>
      <c r="F51" s="308"/>
      <c r="G51" s="185"/>
      <c r="K51" s="256"/>
      <c r="L51" s="256"/>
      <c r="N51" s="254"/>
      <c r="O51" s="255"/>
      <c r="P51" s="243"/>
    </row>
    <row r="52" spans="1:16" ht="69.75" customHeight="1" x14ac:dyDescent="0.45">
      <c r="A52" s="142" t="s">
        <v>25</v>
      </c>
      <c r="B52" s="478" t="s">
        <v>61</v>
      </c>
      <c r="C52" s="434" t="s">
        <v>492</v>
      </c>
      <c r="D52" s="158"/>
      <c r="E52" s="158"/>
      <c r="F52" s="158"/>
      <c r="G52" s="158"/>
      <c r="K52" s="248"/>
      <c r="L52" s="248"/>
      <c r="N52" s="245"/>
      <c r="O52" s="255"/>
      <c r="P52" s="243"/>
    </row>
    <row r="53" spans="1:16" ht="18.75" hidden="1" customHeight="1" x14ac:dyDescent="0.45">
      <c r="A53" s="142" t="s">
        <v>25</v>
      </c>
      <c r="B53" s="479"/>
      <c r="C53" s="435" t="s">
        <v>62</v>
      </c>
      <c r="D53" s="178" t="s">
        <v>63</v>
      </c>
      <c r="E53" s="186">
        <v>0</v>
      </c>
      <c r="F53" s="187">
        <v>42.5</v>
      </c>
      <c r="G53" s="179">
        <f t="shared" ref="G53:G63" si="6">F53*E53</f>
        <v>0</v>
      </c>
      <c r="K53" s="244">
        <f t="shared" ref="K53:K63" si="7">F53*$J$26</f>
        <v>27.625</v>
      </c>
      <c r="L53" s="248">
        <f t="shared" ref="L53:L63" si="8">E53*K53</f>
        <v>0</v>
      </c>
      <c r="N53" s="245">
        <f t="shared" ref="N53:N63" si="9">G53*0.05</f>
        <v>0</v>
      </c>
      <c r="O53" s="246">
        <f t="shared" ref="O53:O71" si="10">G53-L53-N53</f>
        <v>0</v>
      </c>
      <c r="P53" s="247" t="e">
        <f>O53/G53</f>
        <v>#DIV/0!</v>
      </c>
    </row>
    <row r="54" spans="1:16" ht="18.75" customHeight="1" x14ac:dyDescent="0.45">
      <c r="A54" s="142" t="s">
        <v>25</v>
      </c>
      <c r="B54" s="480"/>
      <c r="C54" s="435" t="s">
        <v>64</v>
      </c>
      <c r="D54" s="173" t="s">
        <v>63</v>
      </c>
      <c r="E54" s="174">
        <v>30</v>
      </c>
      <c r="F54" s="188">
        <v>30</v>
      </c>
      <c r="G54" s="169">
        <f t="shared" si="6"/>
        <v>900</v>
      </c>
      <c r="K54" s="244">
        <f t="shared" si="7"/>
        <v>19.5</v>
      </c>
      <c r="L54" s="248">
        <f t="shared" si="8"/>
        <v>585</v>
      </c>
      <c r="N54" s="245">
        <f t="shared" si="9"/>
        <v>45</v>
      </c>
      <c r="O54" s="246">
        <f t="shared" si="10"/>
        <v>270</v>
      </c>
      <c r="P54" s="243">
        <f t="shared" ref="P54:P63" si="11">O54/F54</f>
        <v>9</v>
      </c>
    </row>
    <row r="55" spans="1:16" ht="65.25" hidden="1" customHeight="1" x14ac:dyDescent="0.45">
      <c r="A55" s="142" t="s">
        <v>25</v>
      </c>
      <c r="B55" s="176" t="s">
        <v>65</v>
      </c>
      <c r="C55" s="194" t="s">
        <v>461</v>
      </c>
      <c r="D55" s="173" t="s">
        <v>63</v>
      </c>
      <c r="E55" s="174">
        <v>0</v>
      </c>
      <c r="F55" s="188">
        <v>40</v>
      </c>
      <c r="G55" s="169">
        <f t="shared" si="6"/>
        <v>0</v>
      </c>
      <c r="K55" s="244">
        <f t="shared" si="7"/>
        <v>26</v>
      </c>
      <c r="L55" s="248">
        <f t="shared" si="8"/>
        <v>0</v>
      </c>
      <c r="N55" s="245">
        <f t="shared" si="9"/>
        <v>0</v>
      </c>
      <c r="O55" s="246">
        <f t="shared" si="10"/>
        <v>0</v>
      </c>
      <c r="P55" s="243">
        <f t="shared" si="11"/>
        <v>0</v>
      </c>
    </row>
    <row r="56" spans="1:16" ht="66" hidden="1" customHeight="1" x14ac:dyDescent="0.45">
      <c r="A56" s="142" t="s">
        <v>25</v>
      </c>
      <c r="B56" s="164" t="s">
        <v>66</v>
      </c>
      <c r="C56" s="194" t="s">
        <v>67</v>
      </c>
      <c r="D56" s="173" t="s">
        <v>63</v>
      </c>
      <c r="E56" s="174">
        <v>0</v>
      </c>
      <c r="F56" s="188">
        <v>40</v>
      </c>
      <c r="G56" s="169">
        <f t="shared" si="6"/>
        <v>0</v>
      </c>
      <c r="K56" s="244">
        <f t="shared" si="7"/>
        <v>26</v>
      </c>
      <c r="L56" s="248">
        <f t="shared" si="8"/>
        <v>0</v>
      </c>
      <c r="N56" s="245">
        <f t="shared" si="9"/>
        <v>0</v>
      </c>
      <c r="O56" s="246">
        <f t="shared" si="10"/>
        <v>0</v>
      </c>
      <c r="P56" s="243">
        <f t="shared" si="11"/>
        <v>0</v>
      </c>
    </row>
    <row r="57" spans="1:16" ht="58.5" hidden="1" customHeight="1" x14ac:dyDescent="0.45">
      <c r="A57" s="142" t="s">
        <v>25</v>
      </c>
      <c r="B57" s="164" t="s">
        <v>68</v>
      </c>
      <c r="C57" s="194" t="s">
        <v>69</v>
      </c>
      <c r="D57" s="173" t="s">
        <v>63</v>
      </c>
      <c r="E57" s="174">
        <v>0</v>
      </c>
      <c r="F57" s="188">
        <v>19</v>
      </c>
      <c r="G57" s="169">
        <f t="shared" si="6"/>
        <v>0</v>
      </c>
      <c r="H57" s="170" t="s">
        <v>70</v>
      </c>
      <c r="K57" s="244">
        <f t="shared" si="7"/>
        <v>12.35</v>
      </c>
      <c r="L57" s="248">
        <f t="shared" si="8"/>
        <v>0</v>
      </c>
      <c r="N57" s="245">
        <f t="shared" si="9"/>
        <v>0</v>
      </c>
      <c r="O57" s="246">
        <f t="shared" si="10"/>
        <v>0</v>
      </c>
      <c r="P57" s="243">
        <f t="shared" si="11"/>
        <v>0</v>
      </c>
    </row>
    <row r="58" spans="1:16" ht="72" x14ac:dyDescent="0.45">
      <c r="A58" s="142" t="s">
        <v>25</v>
      </c>
      <c r="B58" s="164" t="s">
        <v>71</v>
      </c>
      <c r="C58" s="194" t="s">
        <v>482</v>
      </c>
      <c r="D58" s="173" t="s">
        <v>63</v>
      </c>
      <c r="E58" s="174">
        <f>125+70</f>
        <v>195</v>
      </c>
      <c r="F58" s="188">
        <v>30</v>
      </c>
      <c r="G58" s="169">
        <f t="shared" si="6"/>
        <v>5850</v>
      </c>
      <c r="H58" s="170" t="s">
        <v>72</v>
      </c>
      <c r="K58" s="244">
        <f t="shared" si="7"/>
        <v>19.5</v>
      </c>
      <c r="L58" s="248">
        <f t="shared" si="8"/>
        <v>3802.5</v>
      </c>
      <c r="N58" s="245">
        <f t="shared" si="9"/>
        <v>292.5</v>
      </c>
      <c r="O58" s="246">
        <f t="shared" si="10"/>
        <v>1755</v>
      </c>
      <c r="P58" s="243">
        <f t="shared" si="11"/>
        <v>58.5</v>
      </c>
    </row>
    <row r="59" spans="1:16" ht="79.5" hidden="1" customHeight="1" x14ac:dyDescent="0.45">
      <c r="A59" s="142" t="s">
        <v>25</v>
      </c>
      <c r="B59" s="164" t="s">
        <v>73</v>
      </c>
      <c r="C59" s="194" t="s">
        <v>74</v>
      </c>
      <c r="D59" s="173" t="s">
        <v>63</v>
      </c>
      <c r="E59" s="174">
        <v>0</v>
      </c>
      <c r="F59" s="188">
        <v>18</v>
      </c>
      <c r="G59" s="169">
        <f t="shared" si="6"/>
        <v>0</v>
      </c>
      <c r="K59" s="244">
        <f t="shared" si="7"/>
        <v>11.700000000000001</v>
      </c>
      <c r="L59" s="248">
        <f t="shared" si="8"/>
        <v>0</v>
      </c>
      <c r="N59" s="245">
        <f t="shared" si="9"/>
        <v>0</v>
      </c>
      <c r="O59" s="246">
        <f t="shared" si="10"/>
        <v>0</v>
      </c>
      <c r="P59" s="243">
        <f t="shared" si="11"/>
        <v>0</v>
      </c>
    </row>
    <row r="60" spans="1:16" ht="56.6" hidden="1" x14ac:dyDescent="0.45">
      <c r="A60" s="142" t="s">
        <v>25</v>
      </c>
      <c r="B60" s="164" t="s">
        <v>75</v>
      </c>
      <c r="C60" s="194" t="s">
        <v>76</v>
      </c>
      <c r="D60" s="173" t="s">
        <v>63</v>
      </c>
      <c r="E60" s="174">
        <v>0</v>
      </c>
      <c r="F60" s="188">
        <v>20</v>
      </c>
      <c r="G60" s="169">
        <f t="shared" si="6"/>
        <v>0</v>
      </c>
      <c r="K60" s="244">
        <f t="shared" si="7"/>
        <v>13</v>
      </c>
      <c r="L60" s="248">
        <f t="shared" si="8"/>
        <v>0</v>
      </c>
      <c r="N60" s="245">
        <f t="shared" si="9"/>
        <v>0</v>
      </c>
      <c r="O60" s="246">
        <f t="shared" si="10"/>
        <v>0</v>
      </c>
      <c r="P60" s="243">
        <f t="shared" si="11"/>
        <v>0</v>
      </c>
    </row>
    <row r="61" spans="1:16" ht="50.25" hidden="1" customHeight="1" x14ac:dyDescent="0.45">
      <c r="A61" s="142" t="s">
        <v>25</v>
      </c>
      <c r="B61" s="164" t="s">
        <v>77</v>
      </c>
      <c r="C61" s="194" t="s">
        <v>78</v>
      </c>
      <c r="D61" s="173" t="s">
        <v>79</v>
      </c>
      <c r="E61" s="174">
        <v>0</v>
      </c>
      <c r="F61" s="188">
        <v>6.5</v>
      </c>
      <c r="G61" s="169">
        <f t="shared" si="6"/>
        <v>0</v>
      </c>
      <c r="K61" s="244">
        <f t="shared" si="7"/>
        <v>4.2250000000000005</v>
      </c>
      <c r="L61" s="248">
        <f t="shared" si="8"/>
        <v>0</v>
      </c>
      <c r="N61" s="245">
        <f t="shared" si="9"/>
        <v>0</v>
      </c>
      <c r="O61" s="246">
        <f t="shared" si="10"/>
        <v>0</v>
      </c>
      <c r="P61" s="243">
        <f t="shared" si="11"/>
        <v>0</v>
      </c>
    </row>
    <row r="62" spans="1:16" ht="64.5" hidden="1" customHeight="1" x14ac:dyDescent="0.45">
      <c r="A62" s="142" t="s">
        <v>25</v>
      </c>
      <c r="B62" s="164" t="s">
        <v>80</v>
      </c>
      <c r="C62" s="194" t="s">
        <v>462</v>
      </c>
      <c r="D62" s="173" t="s">
        <v>79</v>
      </c>
      <c r="E62" s="174">
        <v>0</v>
      </c>
      <c r="F62" s="188">
        <v>15</v>
      </c>
      <c r="G62" s="169">
        <f t="shared" si="6"/>
        <v>0</v>
      </c>
      <c r="K62" s="244">
        <f t="shared" si="7"/>
        <v>9.75</v>
      </c>
      <c r="L62" s="248">
        <f t="shared" si="8"/>
        <v>0</v>
      </c>
      <c r="N62" s="245">
        <f t="shared" si="9"/>
        <v>0</v>
      </c>
      <c r="O62" s="246">
        <f t="shared" si="10"/>
        <v>0</v>
      </c>
      <c r="P62" s="243">
        <f t="shared" si="11"/>
        <v>0</v>
      </c>
    </row>
    <row r="63" spans="1:16" ht="64.5" customHeight="1" x14ac:dyDescent="0.45">
      <c r="A63" s="142" t="s">
        <v>25</v>
      </c>
      <c r="B63" s="189" t="s">
        <v>81</v>
      </c>
      <c r="C63" s="193" t="s">
        <v>493</v>
      </c>
      <c r="D63" s="166" t="s">
        <v>63</v>
      </c>
      <c r="E63" s="167">
        <v>26</v>
      </c>
      <c r="F63" s="190">
        <v>20</v>
      </c>
      <c r="G63" s="168">
        <f t="shared" si="6"/>
        <v>520</v>
      </c>
      <c r="K63" s="244">
        <f t="shared" si="7"/>
        <v>13</v>
      </c>
      <c r="L63" s="248">
        <f t="shared" si="8"/>
        <v>338</v>
      </c>
      <c r="N63" s="245">
        <f t="shared" si="9"/>
        <v>26</v>
      </c>
      <c r="O63" s="246">
        <f t="shared" si="10"/>
        <v>156</v>
      </c>
      <c r="P63" s="243">
        <f t="shared" si="11"/>
        <v>7.8</v>
      </c>
    </row>
    <row r="64" spans="1:16" ht="50.25" customHeight="1" x14ac:dyDescent="0.45">
      <c r="A64" s="142" t="s">
        <v>25</v>
      </c>
      <c r="B64" s="478" t="s">
        <v>82</v>
      </c>
      <c r="C64" s="194" t="s">
        <v>494</v>
      </c>
      <c r="D64" s="158"/>
      <c r="E64" s="158"/>
      <c r="F64" s="158"/>
      <c r="G64" s="158"/>
      <c r="K64" s="244"/>
      <c r="L64" s="248"/>
      <c r="N64" s="245"/>
      <c r="O64" s="246">
        <f t="shared" si="10"/>
        <v>0</v>
      </c>
      <c r="P64" s="243"/>
    </row>
    <row r="65" spans="1:16" ht="15.75" customHeight="1" thickBot="1" x14ac:dyDescent="0.5">
      <c r="A65" s="142" t="s">
        <v>25</v>
      </c>
      <c r="B65" s="479"/>
      <c r="C65" s="194" t="s">
        <v>83</v>
      </c>
      <c r="D65" s="173" t="s">
        <v>63</v>
      </c>
      <c r="E65" s="174">
        <v>60</v>
      </c>
      <c r="F65" s="188">
        <v>8</v>
      </c>
      <c r="G65" s="169">
        <f t="shared" ref="G65:G71" si="12">F65*E65</f>
        <v>480</v>
      </c>
      <c r="K65" s="244">
        <f t="shared" ref="K65:K71" si="13">F65*$J$26</f>
        <v>5.2</v>
      </c>
      <c r="L65" s="248">
        <f t="shared" ref="L65:L71" si="14">E65*K65</f>
        <v>312</v>
      </c>
      <c r="N65" s="245">
        <f t="shared" ref="N65:N71" si="15">G65*0.05</f>
        <v>24</v>
      </c>
      <c r="O65" s="246">
        <f t="shared" si="10"/>
        <v>144</v>
      </c>
      <c r="P65" s="243">
        <f t="shared" ref="P65:P71" si="16">O65/F65</f>
        <v>18</v>
      </c>
    </row>
    <row r="66" spans="1:16" ht="15.75" hidden="1" customHeight="1" x14ac:dyDescent="0.45">
      <c r="A66" s="142" t="s">
        <v>25</v>
      </c>
      <c r="B66" s="480"/>
      <c r="C66" s="194" t="s">
        <v>84</v>
      </c>
      <c r="D66" s="173" t="s">
        <v>63</v>
      </c>
      <c r="E66" s="174">
        <v>0</v>
      </c>
      <c r="F66" s="188">
        <v>6</v>
      </c>
      <c r="G66" s="169">
        <f t="shared" si="12"/>
        <v>0</v>
      </c>
      <c r="K66" s="244">
        <f t="shared" si="13"/>
        <v>3.9000000000000004</v>
      </c>
      <c r="L66" s="248">
        <f t="shared" si="14"/>
        <v>0</v>
      </c>
      <c r="N66" s="245">
        <f t="shared" si="15"/>
        <v>0</v>
      </c>
      <c r="O66" s="246">
        <f t="shared" si="10"/>
        <v>0</v>
      </c>
      <c r="P66" s="243">
        <f t="shared" si="16"/>
        <v>0</v>
      </c>
    </row>
    <row r="67" spans="1:16" ht="66" hidden="1" customHeight="1" x14ac:dyDescent="0.45">
      <c r="A67" s="142" t="s">
        <v>25</v>
      </c>
      <c r="B67" s="164" t="s">
        <v>85</v>
      </c>
      <c r="C67" s="194" t="s">
        <v>86</v>
      </c>
      <c r="D67" s="173" t="s">
        <v>63</v>
      </c>
      <c r="E67" s="174">
        <v>0</v>
      </c>
      <c r="F67" s="188">
        <v>20</v>
      </c>
      <c r="G67" s="169">
        <f t="shared" si="12"/>
        <v>0</v>
      </c>
      <c r="K67" s="244">
        <f t="shared" si="13"/>
        <v>13</v>
      </c>
      <c r="L67" s="248">
        <f t="shared" si="14"/>
        <v>0</v>
      </c>
      <c r="N67" s="245">
        <f t="shared" si="15"/>
        <v>0</v>
      </c>
      <c r="O67" s="246">
        <f t="shared" si="10"/>
        <v>0</v>
      </c>
      <c r="P67" s="243">
        <f t="shared" si="16"/>
        <v>0</v>
      </c>
    </row>
    <row r="68" spans="1:16" ht="75.650000000000006" hidden="1" customHeight="1" x14ac:dyDescent="0.45">
      <c r="A68" s="142" t="s">
        <v>25</v>
      </c>
      <c r="B68" s="176" t="s">
        <v>87</v>
      </c>
      <c r="C68" s="196" t="s">
        <v>88</v>
      </c>
      <c r="D68" s="178" t="s">
        <v>27</v>
      </c>
      <c r="E68" s="186">
        <v>0</v>
      </c>
      <c r="F68" s="187">
        <v>650</v>
      </c>
      <c r="G68" s="179">
        <f t="shared" si="12"/>
        <v>0</v>
      </c>
      <c r="K68" s="244">
        <f t="shared" si="13"/>
        <v>422.5</v>
      </c>
      <c r="L68" s="248">
        <f t="shared" si="14"/>
        <v>0</v>
      </c>
      <c r="N68" s="245">
        <f t="shared" si="15"/>
        <v>0</v>
      </c>
      <c r="O68" s="246">
        <f t="shared" si="10"/>
        <v>0</v>
      </c>
      <c r="P68" s="243">
        <f t="shared" si="16"/>
        <v>0</v>
      </c>
    </row>
    <row r="69" spans="1:16" ht="128.25" hidden="1" customHeight="1" x14ac:dyDescent="0.45">
      <c r="A69" s="142" t="s">
        <v>25</v>
      </c>
      <c r="B69" s="176" t="s">
        <v>89</v>
      </c>
      <c r="C69" s="196" t="s">
        <v>90</v>
      </c>
      <c r="D69" s="178" t="s">
        <v>27</v>
      </c>
      <c r="E69" s="186">
        <v>0</v>
      </c>
      <c r="F69" s="187">
        <v>700</v>
      </c>
      <c r="G69" s="179">
        <f t="shared" si="12"/>
        <v>0</v>
      </c>
      <c r="K69" s="244">
        <f t="shared" si="13"/>
        <v>455</v>
      </c>
      <c r="L69" s="248">
        <f t="shared" si="14"/>
        <v>0</v>
      </c>
      <c r="N69" s="245">
        <f t="shared" si="15"/>
        <v>0</v>
      </c>
      <c r="O69" s="246">
        <f t="shared" si="10"/>
        <v>0</v>
      </c>
      <c r="P69" s="243">
        <f t="shared" si="16"/>
        <v>0</v>
      </c>
    </row>
    <row r="70" spans="1:16" ht="120" hidden="1" customHeight="1" x14ac:dyDescent="0.45">
      <c r="A70" s="142" t="s">
        <v>25</v>
      </c>
      <c r="B70" s="164" t="s">
        <v>91</v>
      </c>
      <c r="C70" s="194" t="s">
        <v>92</v>
      </c>
      <c r="D70" s="173" t="s">
        <v>27</v>
      </c>
      <c r="E70" s="174">
        <v>0</v>
      </c>
      <c r="F70" s="188">
        <v>700</v>
      </c>
      <c r="G70" s="169">
        <f t="shared" si="12"/>
        <v>0</v>
      </c>
      <c r="K70" s="244">
        <f t="shared" si="13"/>
        <v>455</v>
      </c>
      <c r="L70" s="248">
        <f t="shared" si="14"/>
        <v>0</v>
      </c>
      <c r="N70" s="245">
        <f t="shared" si="15"/>
        <v>0</v>
      </c>
      <c r="O70" s="246">
        <f t="shared" si="10"/>
        <v>0</v>
      </c>
      <c r="P70" s="243">
        <f t="shared" si="16"/>
        <v>0</v>
      </c>
    </row>
    <row r="71" spans="1:16" ht="64.5" hidden="1" customHeight="1" thickBot="1" x14ac:dyDescent="0.5">
      <c r="A71" s="142" t="s">
        <v>25</v>
      </c>
      <c r="B71" s="164" t="s">
        <v>93</v>
      </c>
      <c r="C71" s="194" t="s">
        <v>94</v>
      </c>
      <c r="D71" s="173" t="s">
        <v>27</v>
      </c>
      <c r="E71" s="174">
        <v>0</v>
      </c>
      <c r="F71" s="188">
        <v>810</v>
      </c>
      <c r="G71" s="169">
        <f t="shared" si="12"/>
        <v>0</v>
      </c>
      <c r="K71" s="244">
        <f t="shared" si="13"/>
        <v>526.5</v>
      </c>
      <c r="L71" s="248">
        <f t="shared" si="14"/>
        <v>0</v>
      </c>
      <c r="N71" s="245">
        <f t="shared" si="15"/>
        <v>0</v>
      </c>
      <c r="O71" s="246">
        <f t="shared" si="10"/>
        <v>0</v>
      </c>
      <c r="P71" s="243">
        <f t="shared" si="16"/>
        <v>0</v>
      </c>
    </row>
    <row r="72" spans="1:16" ht="36.75" customHeight="1" thickBot="1" x14ac:dyDescent="0.5">
      <c r="B72" s="182" t="s">
        <v>26</v>
      </c>
      <c r="C72" s="432" t="s">
        <v>95</v>
      </c>
      <c r="D72" s="183"/>
      <c r="E72" s="303" t="s">
        <v>481</v>
      </c>
      <c r="F72" s="184"/>
      <c r="G72" s="304">
        <f>SUM(G53:G71)</f>
        <v>7750</v>
      </c>
      <c r="K72" s="309"/>
      <c r="L72" s="309">
        <f>SUM(L52:L71)</f>
        <v>5037.5</v>
      </c>
      <c r="M72" s="257" t="e">
        <f>#REF!*0.2</f>
        <v>#REF!</v>
      </c>
      <c r="N72" s="252">
        <f>SUM(N52:N71)</f>
        <v>387.5</v>
      </c>
      <c r="O72" s="252">
        <f>SUM(O52:O71)</f>
        <v>2325</v>
      </c>
      <c r="P72" s="258">
        <f>O72/G72</f>
        <v>0.3</v>
      </c>
    </row>
    <row r="73" spans="1:16" ht="15.75" customHeight="1" x14ac:dyDescent="0.45">
      <c r="B73" s="305"/>
      <c r="C73" s="433"/>
      <c r="D73" s="306"/>
      <c r="E73" s="306"/>
      <c r="F73" s="306"/>
      <c r="G73" s="306"/>
      <c r="N73" s="254"/>
      <c r="O73" s="255"/>
      <c r="P73" s="243"/>
    </row>
    <row r="74" spans="1:16" ht="22.5" customHeight="1" x14ac:dyDescent="0.45">
      <c r="B74" s="161" t="s">
        <v>29</v>
      </c>
      <c r="C74" s="449" t="s">
        <v>96</v>
      </c>
      <c r="D74" s="162"/>
      <c r="E74" s="162"/>
      <c r="F74" s="162"/>
      <c r="G74" s="301"/>
      <c r="K74" s="256"/>
      <c r="L74" s="256"/>
      <c r="N74" s="254"/>
      <c r="O74" s="255"/>
      <c r="P74" s="243"/>
    </row>
    <row r="75" spans="1:16" ht="53.25" customHeight="1" thickBot="1" x14ac:dyDescent="0.5">
      <c r="A75" s="142" t="s">
        <v>25</v>
      </c>
      <c r="B75" s="191" t="s">
        <v>97</v>
      </c>
      <c r="C75" s="172" t="s">
        <v>483</v>
      </c>
      <c r="D75" s="173" t="s">
        <v>63</v>
      </c>
      <c r="E75" s="174">
        <v>195</v>
      </c>
      <c r="F75" s="188">
        <v>30</v>
      </c>
      <c r="G75" s="169">
        <f>F75*E75</f>
        <v>5850</v>
      </c>
      <c r="H75" s="170" t="s">
        <v>470</v>
      </c>
      <c r="K75" s="244">
        <f>F75*$J$26</f>
        <v>19.5</v>
      </c>
      <c r="L75" s="248">
        <f>E75*K75</f>
        <v>3802.5</v>
      </c>
      <c r="N75" s="245">
        <f>G75*0.05</f>
        <v>292.5</v>
      </c>
      <c r="O75" s="246">
        <f>G75-L75-N75</f>
        <v>1755</v>
      </c>
      <c r="P75" s="243">
        <f t="shared" ref="P75:P80" si="17">O75/G75</f>
        <v>0.3</v>
      </c>
    </row>
    <row r="76" spans="1:16" ht="105" hidden="1" customHeight="1" x14ac:dyDescent="0.45">
      <c r="A76" s="142" t="s">
        <v>25</v>
      </c>
      <c r="B76" s="192" t="s">
        <v>98</v>
      </c>
      <c r="C76" s="193" t="s">
        <v>463</v>
      </c>
      <c r="D76" s="166" t="s">
        <v>63</v>
      </c>
      <c r="E76" s="167">
        <v>0</v>
      </c>
      <c r="F76" s="190">
        <v>55</v>
      </c>
      <c r="G76" s="168">
        <f>F76*E76</f>
        <v>0</v>
      </c>
      <c r="K76" s="244">
        <f>F76*$J$26</f>
        <v>35.75</v>
      </c>
      <c r="L76" s="248">
        <f>E76*K76</f>
        <v>0</v>
      </c>
      <c r="N76" s="245">
        <f>G76*0.05</f>
        <v>0</v>
      </c>
      <c r="O76" s="246">
        <f>G76-L76-N76</f>
        <v>0</v>
      </c>
      <c r="P76" s="243" t="e">
        <f t="shared" si="17"/>
        <v>#DIV/0!</v>
      </c>
    </row>
    <row r="77" spans="1:16" ht="60.75" hidden="1" customHeight="1" x14ac:dyDescent="0.45">
      <c r="A77" s="142" t="s">
        <v>25</v>
      </c>
      <c r="B77" s="191" t="s">
        <v>99</v>
      </c>
      <c r="C77" s="194" t="s">
        <v>100</v>
      </c>
      <c r="D77" s="173" t="s">
        <v>63</v>
      </c>
      <c r="E77" s="174">
        <v>0</v>
      </c>
      <c r="F77" s="188">
        <v>65</v>
      </c>
      <c r="G77" s="169">
        <f>F77*E77</f>
        <v>0</v>
      </c>
      <c r="K77" s="244">
        <f>F77*$J$26</f>
        <v>42.25</v>
      </c>
      <c r="L77" s="248">
        <f>E77*K77</f>
        <v>0</v>
      </c>
      <c r="N77" s="245">
        <f>G77*0.05</f>
        <v>0</v>
      </c>
      <c r="O77" s="246">
        <f>G77-L77-N77</f>
        <v>0</v>
      </c>
      <c r="P77" s="243" t="e">
        <f t="shared" si="17"/>
        <v>#DIV/0!</v>
      </c>
    </row>
    <row r="78" spans="1:16" ht="83.15" hidden="1" customHeight="1" x14ac:dyDescent="0.45">
      <c r="A78" s="142" t="s">
        <v>25</v>
      </c>
      <c r="B78" s="195" t="s">
        <v>101</v>
      </c>
      <c r="C78" s="196" t="s">
        <v>102</v>
      </c>
      <c r="D78" s="178" t="s">
        <v>63</v>
      </c>
      <c r="E78" s="186">
        <v>0</v>
      </c>
      <c r="F78" s="187">
        <v>89</v>
      </c>
      <c r="G78" s="179">
        <f>F78*E78</f>
        <v>0</v>
      </c>
      <c r="K78" s="244">
        <f>F78*$J$26</f>
        <v>57.85</v>
      </c>
      <c r="L78" s="248">
        <f>E78*K78</f>
        <v>0</v>
      </c>
      <c r="N78" s="245">
        <f>G78*0.05</f>
        <v>0</v>
      </c>
      <c r="O78" s="246">
        <f>G78-L78-N78</f>
        <v>0</v>
      </c>
      <c r="P78" s="243" t="e">
        <f t="shared" si="17"/>
        <v>#DIV/0!</v>
      </c>
    </row>
    <row r="79" spans="1:16" ht="41.25" hidden="1" customHeight="1" thickBot="1" x14ac:dyDescent="0.5">
      <c r="A79" s="142" t="s">
        <v>25</v>
      </c>
      <c r="B79" s="191" t="s">
        <v>103</v>
      </c>
      <c r="C79" s="172" t="s">
        <v>104</v>
      </c>
      <c r="D79" s="173" t="s">
        <v>63</v>
      </c>
      <c r="E79" s="174">
        <v>0</v>
      </c>
      <c r="F79" s="188">
        <v>38</v>
      </c>
      <c r="G79" s="169">
        <f>F79*E79</f>
        <v>0</v>
      </c>
      <c r="H79" s="170" t="s">
        <v>105</v>
      </c>
      <c r="K79" s="244">
        <f>F79*$J$26</f>
        <v>24.7</v>
      </c>
      <c r="L79" s="248">
        <f>E79*K79</f>
        <v>0</v>
      </c>
      <c r="N79" s="245">
        <f>G79*0.05</f>
        <v>0</v>
      </c>
      <c r="O79" s="246">
        <f>G79-L79-N79</f>
        <v>0</v>
      </c>
      <c r="P79" s="243" t="e">
        <f t="shared" si="17"/>
        <v>#DIV/0!</v>
      </c>
    </row>
    <row r="80" spans="1:16" ht="15.75" customHeight="1" thickBot="1" x14ac:dyDescent="0.5">
      <c r="B80" s="182" t="s">
        <v>29</v>
      </c>
      <c r="C80" s="432" t="s">
        <v>106</v>
      </c>
      <c r="D80" s="183"/>
      <c r="E80" s="303"/>
      <c r="F80" s="184"/>
      <c r="G80" s="304">
        <f>SUM(G75:G79)</f>
        <v>5850</v>
      </c>
      <c r="K80" s="309"/>
      <c r="L80" s="309">
        <f>SUM(L75:L79)</f>
        <v>3802.5</v>
      </c>
      <c r="N80" s="252">
        <f>SUM(N75:N79)</f>
        <v>292.5</v>
      </c>
      <c r="O80" s="252">
        <f>SUM(O75:O79)</f>
        <v>1755</v>
      </c>
      <c r="P80" s="258">
        <f t="shared" si="17"/>
        <v>0.3</v>
      </c>
    </row>
    <row r="81" spans="1:16" ht="15.75" customHeight="1" x14ac:dyDescent="0.45">
      <c r="B81" s="305"/>
      <c r="C81" s="433"/>
      <c r="D81" s="306"/>
      <c r="E81" s="306"/>
      <c r="F81" s="306"/>
      <c r="G81" s="306"/>
      <c r="N81" s="254"/>
      <c r="O81" s="255"/>
      <c r="P81" s="243"/>
    </row>
    <row r="82" spans="1:16" ht="25.3" x14ac:dyDescent="0.45">
      <c r="B82" s="307" t="s">
        <v>32</v>
      </c>
      <c r="C82" s="448" t="s">
        <v>107</v>
      </c>
      <c r="D82" s="308"/>
      <c r="E82" s="308"/>
      <c r="F82" s="308"/>
      <c r="G82" s="185"/>
      <c r="K82" s="256"/>
      <c r="L82" s="256"/>
      <c r="N82" s="254"/>
      <c r="O82" s="255"/>
      <c r="P82" s="243"/>
    </row>
    <row r="83" spans="1:16" ht="63.75" customHeight="1" x14ac:dyDescent="0.45">
      <c r="A83" s="142" t="s">
        <v>25</v>
      </c>
      <c r="B83" s="191" t="s">
        <v>108</v>
      </c>
      <c r="C83" s="194" t="s">
        <v>495</v>
      </c>
      <c r="D83" s="173" t="s">
        <v>63</v>
      </c>
      <c r="E83" s="174">
        <v>25</v>
      </c>
      <c r="F83" s="188">
        <v>45</v>
      </c>
      <c r="G83" s="169">
        <f t="shared" ref="G83:G90" si="18">F83*E83</f>
        <v>1125</v>
      </c>
      <c r="K83" s="244">
        <f t="shared" ref="K83:K90" si="19">F83*$J$26</f>
        <v>29.25</v>
      </c>
      <c r="L83" s="248">
        <f t="shared" ref="L83:L90" si="20">E83*K83</f>
        <v>731.25</v>
      </c>
      <c r="N83" s="245">
        <f t="shared" ref="N83:N90" si="21">G83*0.05</f>
        <v>56.25</v>
      </c>
      <c r="O83" s="246">
        <f t="shared" ref="O83:O90" si="22">G83-L83-N83</f>
        <v>337.5</v>
      </c>
      <c r="P83" s="243">
        <f t="shared" ref="P83:P91" si="23">O83/G83</f>
        <v>0.3</v>
      </c>
    </row>
    <row r="84" spans="1:16" ht="23.25" customHeight="1" x14ac:dyDescent="0.45">
      <c r="A84" s="142" t="s">
        <v>25</v>
      </c>
      <c r="B84" s="197" t="s">
        <v>109</v>
      </c>
      <c r="C84" s="198" t="s">
        <v>499</v>
      </c>
      <c r="D84" s="199" t="s">
        <v>27</v>
      </c>
      <c r="E84" s="200">
        <v>1</v>
      </c>
      <c r="F84" s="201">
        <v>200</v>
      </c>
      <c r="G84" s="202">
        <f t="shared" si="18"/>
        <v>200</v>
      </c>
      <c r="K84" s="244">
        <f t="shared" si="19"/>
        <v>130</v>
      </c>
      <c r="L84" s="248">
        <f t="shared" si="20"/>
        <v>130</v>
      </c>
      <c r="N84" s="245">
        <f t="shared" si="21"/>
        <v>10</v>
      </c>
      <c r="O84" s="246">
        <f t="shared" si="22"/>
        <v>60</v>
      </c>
      <c r="P84" s="243">
        <f t="shared" si="23"/>
        <v>0.3</v>
      </c>
    </row>
    <row r="85" spans="1:16" ht="41.25" customHeight="1" x14ac:dyDescent="0.45">
      <c r="A85" s="142" t="s">
        <v>25</v>
      </c>
      <c r="B85" s="191" t="s">
        <v>110</v>
      </c>
      <c r="C85" s="172" t="s">
        <v>500</v>
      </c>
      <c r="D85" s="173" t="s">
        <v>27</v>
      </c>
      <c r="E85" s="174">
        <v>9</v>
      </c>
      <c r="F85" s="188">
        <v>150</v>
      </c>
      <c r="G85" s="169">
        <f t="shared" si="18"/>
        <v>1350</v>
      </c>
      <c r="K85" s="244">
        <f t="shared" si="19"/>
        <v>97.5</v>
      </c>
      <c r="L85" s="248">
        <f t="shared" si="20"/>
        <v>877.5</v>
      </c>
      <c r="N85" s="245">
        <f t="shared" si="21"/>
        <v>67.5</v>
      </c>
      <c r="O85" s="246">
        <f t="shared" si="22"/>
        <v>405</v>
      </c>
      <c r="P85" s="243">
        <f t="shared" si="23"/>
        <v>0.3</v>
      </c>
    </row>
    <row r="86" spans="1:16" ht="42.65" hidden="1" customHeight="1" x14ac:dyDescent="0.45">
      <c r="A86" s="142" t="s">
        <v>25</v>
      </c>
      <c r="B86" s="197" t="s">
        <v>111</v>
      </c>
      <c r="C86" s="203" t="s">
        <v>464</v>
      </c>
      <c r="D86" s="199" t="s">
        <v>63</v>
      </c>
      <c r="E86" s="200">
        <v>0</v>
      </c>
      <c r="F86" s="201">
        <v>15</v>
      </c>
      <c r="G86" s="202">
        <f t="shared" si="18"/>
        <v>0</v>
      </c>
      <c r="K86" s="244">
        <f t="shared" si="19"/>
        <v>9.75</v>
      </c>
      <c r="L86" s="248">
        <f t="shared" si="20"/>
        <v>0</v>
      </c>
      <c r="N86" s="245">
        <f t="shared" si="21"/>
        <v>0</v>
      </c>
      <c r="O86" s="246">
        <f t="shared" si="22"/>
        <v>0</v>
      </c>
      <c r="P86" s="243" t="e">
        <f t="shared" si="23"/>
        <v>#DIV/0!</v>
      </c>
    </row>
    <row r="87" spans="1:16" ht="65.150000000000006" customHeight="1" x14ac:dyDescent="0.45">
      <c r="A87" s="142" t="s">
        <v>25</v>
      </c>
      <c r="B87" s="204" t="s">
        <v>112</v>
      </c>
      <c r="C87" s="205" t="s">
        <v>496</v>
      </c>
      <c r="D87" s="206" t="s">
        <v>15</v>
      </c>
      <c r="E87" s="167">
        <v>2</v>
      </c>
      <c r="F87" s="190">
        <v>100</v>
      </c>
      <c r="G87" s="310">
        <f t="shared" si="18"/>
        <v>200</v>
      </c>
      <c r="K87" s="244">
        <f t="shared" si="19"/>
        <v>65</v>
      </c>
      <c r="L87" s="248">
        <f t="shared" si="20"/>
        <v>130</v>
      </c>
      <c r="N87" s="245">
        <f t="shared" si="21"/>
        <v>10</v>
      </c>
      <c r="O87" s="246">
        <f t="shared" si="22"/>
        <v>60</v>
      </c>
      <c r="P87" s="243">
        <f t="shared" si="23"/>
        <v>0.3</v>
      </c>
    </row>
    <row r="88" spans="1:16" ht="61.5" customHeight="1" x14ac:dyDescent="0.45">
      <c r="A88" s="142" t="s">
        <v>25</v>
      </c>
      <c r="B88" s="191" t="s">
        <v>113</v>
      </c>
      <c r="C88" s="172" t="s">
        <v>486</v>
      </c>
      <c r="D88" s="173" t="s">
        <v>15</v>
      </c>
      <c r="E88" s="174">
        <v>4</v>
      </c>
      <c r="F88" s="188">
        <v>120</v>
      </c>
      <c r="G88" s="169">
        <f t="shared" si="18"/>
        <v>480</v>
      </c>
      <c r="H88" s="170" t="s">
        <v>114</v>
      </c>
      <c r="K88" s="244">
        <f t="shared" si="19"/>
        <v>78</v>
      </c>
      <c r="L88" s="248">
        <f t="shared" si="20"/>
        <v>312</v>
      </c>
      <c r="N88" s="245">
        <f t="shared" si="21"/>
        <v>24</v>
      </c>
      <c r="O88" s="246">
        <f t="shared" si="22"/>
        <v>144</v>
      </c>
      <c r="P88" s="243">
        <f t="shared" si="23"/>
        <v>0.3</v>
      </c>
    </row>
    <row r="89" spans="1:16" ht="63" customHeight="1" x14ac:dyDescent="0.45">
      <c r="A89" s="142" t="s">
        <v>25</v>
      </c>
      <c r="B89" s="195" t="s">
        <v>115</v>
      </c>
      <c r="C89" s="207" t="s">
        <v>116</v>
      </c>
      <c r="D89" s="178" t="s">
        <v>15</v>
      </c>
      <c r="E89" s="186">
        <v>1</v>
      </c>
      <c r="F89" s="187">
        <v>450</v>
      </c>
      <c r="G89" s="179">
        <f t="shared" si="18"/>
        <v>450</v>
      </c>
      <c r="K89" s="244">
        <f t="shared" si="19"/>
        <v>292.5</v>
      </c>
      <c r="L89" s="248">
        <f t="shared" si="20"/>
        <v>292.5</v>
      </c>
      <c r="N89" s="245">
        <f t="shared" si="21"/>
        <v>22.5</v>
      </c>
      <c r="O89" s="246">
        <f t="shared" si="22"/>
        <v>135</v>
      </c>
      <c r="P89" s="243">
        <f t="shared" si="23"/>
        <v>0.3</v>
      </c>
    </row>
    <row r="90" spans="1:16" ht="57.75" customHeight="1" thickBot="1" x14ac:dyDescent="0.5">
      <c r="A90" s="142" t="s">
        <v>25</v>
      </c>
      <c r="B90" s="195" t="s">
        <v>117</v>
      </c>
      <c r="C90" s="177" t="s">
        <v>497</v>
      </c>
      <c r="D90" s="178" t="s">
        <v>15</v>
      </c>
      <c r="E90" s="186">
        <v>3</v>
      </c>
      <c r="F90" s="187">
        <v>250</v>
      </c>
      <c r="G90" s="179">
        <f t="shared" si="18"/>
        <v>750</v>
      </c>
      <c r="H90" s="170" t="s">
        <v>118</v>
      </c>
      <c r="K90" s="244">
        <f t="shared" si="19"/>
        <v>162.5</v>
      </c>
      <c r="L90" s="248">
        <f t="shared" si="20"/>
        <v>487.5</v>
      </c>
      <c r="N90" s="245">
        <f t="shared" si="21"/>
        <v>37.5</v>
      </c>
      <c r="O90" s="246">
        <f t="shared" si="22"/>
        <v>225</v>
      </c>
      <c r="P90" s="243">
        <f t="shared" si="23"/>
        <v>0.3</v>
      </c>
    </row>
    <row r="91" spans="1:16" ht="15.75" customHeight="1" thickBot="1" x14ac:dyDescent="0.5">
      <c r="B91" s="182" t="s">
        <v>32</v>
      </c>
      <c r="C91" s="432" t="s">
        <v>119</v>
      </c>
      <c r="D91" s="183"/>
      <c r="E91" s="303"/>
      <c r="F91" s="184"/>
      <c r="G91" s="304">
        <f>SUM(G83:G90)</f>
        <v>4555</v>
      </c>
      <c r="K91" s="309"/>
      <c r="L91" s="309">
        <f>SUM(L83:L90)</f>
        <v>2960.75</v>
      </c>
      <c r="N91" s="252">
        <f>SUM(N83:N90)</f>
        <v>227.75</v>
      </c>
      <c r="O91" s="252">
        <f>SUM(O83:O90)</f>
        <v>1366.5</v>
      </c>
      <c r="P91" s="258">
        <f t="shared" si="23"/>
        <v>0.3</v>
      </c>
    </row>
    <row r="92" spans="1:16" ht="15.75" customHeight="1" x14ac:dyDescent="0.45">
      <c r="B92" s="305"/>
      <c r="C92" s="433"/>
      <c r="D92" s="306"/>
      <c r="E92" s="306"/>
      <c r="F92" s="306"/>
      <c r="G92" s="306"/>
      <c r="N92" s="254"/>
      <c r="O92" s="255"/>
      <c r="P92" s="243"/>
    </row>
    <row r="93" spans="1:16" ht="25.3" x14ac:dyDescent="0.45">
      <c r="B93" s="307" t="s">
        <v>43</v>
      </c>
      <c r="C93" s="448" t="s">
        <v>120</v>
      </c>
      <c r="D93" s="308"/>
      <c r="E93" s="308"/>
      <c r="F93" s="308"/>
      <c r="G93" s="185"/>
      <c r="K93" s="256"/>
      <c r="L93" s="256"/>
      <c r="N93" s="254"/>
      <c r="O93" s="255"/>
      <c r="P93" s="243"/>
    </row>
    <row r="94" spans="1:16" ht="39.65" customHeight="1" x14ac:dyDescent="0.45">
      <c r="A94" s="142" t="s">
        <v>25</v>
      </c>
      <c r="B94" s="164" t="s">
        <v>121</v>
      </c>
      <c r="C94" s="194" t="s">
        <v>498</v>
      </c>
      <c r="D94" s="173" t="s">
        <v>63</v>
      </c>
      <c r="E94" s="174">
        <v>50</v>
      </c>
      <c r="F94" s="188">
        <v>30</v>
      </c>
      <c r="G94" s="169">
        <f>F94*E94</f>
        <v>1500</v>
      </c>
      <c r="H94" s="170" t="s">
        <v>122</v>
      </c>
      <c r="K94" s="244">
        <f>F94*$J$26</f>
        <v>19.5</v>
      </c>
      <c r="L94" s="248">
        <f>E94*K94</f>
        <v>975</v>
      </c>
      <c r="N94" s="245">
        <f>G94*0.05</f>
        <v>75</v>
      </c>
      <c r="O94" s="246">
        <f>G94-L94-N94</f>
        <v>450</v>
      </c>
      <c r="P94" s="243">
        <f>O94/G94</f>
        <v>0.3</v>
      </c>
    </row>
    <row r="95" spans="1:16" ht="32.5" customHeight="1" thickBot="1" x14ac:dyDescent="0.5">
      <c r="A95" s="142" t="s">
        <v>25</v>
      </c>
      <c r="B95" s="164" t="s">
        <v>123</v>
      </c>
      <c r="C95" s="194" t="s">
        <v>479</v>
      </c>
      <c r="D95" s="173" t="s">
        <v>63</v>
      </c>
      <c r="E95" s="174">
        <v>85</v>
      </c>
      <c r="F95" s="188">
        <v>25</v>
      </c>
      <c r="G95" s="169">
        <f>F95*E95</f>
        <v>2125</v>
      </c>
      <c r="H95" s="170" t="s">
        <v>124</v>
      </c>
      <c r="K95" s="244">
        <f>F95*$J$26</f>
        <v>16.25</v>
      </c>
      <c r="L95" s="248">
        <f>E95*K95</f>
        <v>1381.25</v>
      </c>
      <c r="N95" s="245">
        <f>G95*0.05</f>
        <v>106.25</v>
      </c>
      <c r="O95" s="246">
        <f>G95-L95-N95</f>
        <v>637.5</v>
      </c>
      <c r="P95" s="243">
        <f>O95/G95</f>
        <v>0.3</v>
      </c>
    </row>
    <row r="96" spans="1:16" ht="15.75" customHeight="1" thickBot="1" x14ac:dyDescent="0.5">
      <c r="B96" s="311" t="s">
        <v>43</v>
      </c>
      <c r="C96" s="436" t="s">
        <v>125</v>
      </c>
      <c r="D96" s="208"/>
      <c r="E96" s="209"/>
      <c r="F96" s="210"/>
      <c r="G96" s="211">
        <f>SUM(G94:G95)</f>
        <v>3625</v>
      </c>
      <c r="K96" s="309"/>
      <c r="L96" s="309">
        <f>SUM(L93:L95)</f>
        <v>2356.25</v>
      </c>
      <c r="N96" s="252">
        <f>SUM(N94:N95)</f>
        <v>181.25</v>
      </c>
      <c r="O96" s="252">
        <f>SUM(O94:O95)</f>
        <v>1087.5</v>
      </c>
      <c r="P96" s="258">
        <f>O96/G96</f>
        <v>0.3</v>
      </c>
    </row>
    <row r="97" spans="1:16" ht="15.75" customHeight="1" x14ac:dyDescent="0.45">
      <c r="B97" s="305"/>
      <c r="C97" s="433"/>
      <c r="D97" s="306"/>
      <c r="E97" s="306"/>
      <c r="F97" s="306"/>
      <c r="G97" s="306"/>
      <c r="N97" s="254"/>
      <c r="O97" s="255"/>
      <c r="P97" s="243"/>
    </row>
    <row r="98" spans="1:16" ht="25.3" x14ac:dyDescent="0.45">
      <c r="B98" s="312" t="s">
        <v>45</v>
      </c>
      <c r="C98" s="451" t="s">
        <v>126</v>
      </c>
      <c r="D98" s="212"/>
      <c r="E98" s="212"/>
      <c r="F98" s="212"/>
      <c r="G98" s="213"/>
      <c r="K98" s="256"/>
      <c r="L98" s="256"/>
      <c r="N98" s="254"/>
      <c r="O98" s="255"/>
      <c r="P98" s="243"/>
    </row>
    <row r="99" spans="1:16" ht="56.6" x14ac:dyDescent="0.45">
      <c r="A99" s="142" t="s">
        <v>25</v>
      </c>
      <c r="B99" s="164" t="s">
        <v>127</v>
      </c>
      <c r="C99" s="194" t="s">
        <v>128</v>
      </c>
      <c r="D99" s="173" t="s">
        <v>63</v>
      </c>
      <c r="E99" s="174">
        <v>0</v>
      </c>
      <c r="F99" s="188">
        <v>60</v>
      </c>
      <c r="G99" s="169">
        <f>F99*E99</f>
        <v>0</v>
      </c>
      <c r="K99" s="244">
        <f>F99*$J$26</f>
        <v>39</v>
      </c>
      <c r="L99" s="248">
        <f>E99*K99</f>
        <v>0</v>
      </c>
      <c r="N99" s="245">
        <f>G99*0.05</f>
        <v>0</v>
      </c>
      <c r="O99" s="246">
        <f>G99-L99-N99</f>
        <v>0</v>
      </c>
      <c r="P99" s="243" t="e">
        <f>O99/G99</f>
        <v>#DIV/0!</v>
      </c>
    </row>
    <row r="100" spans="1:16" ht="15.9" hidden="1" x14ac:dyDescent="0.45">
      <c r="A100" s="142" t="s">
        <v>25</v>
      </c>
      <c r="B100" s="164" t="s">
        <v>129</v>
      </c>
      <c r="C100" s="194" t="s">
        <v>130</v>
      </c>
      <c r="D100" s="173" t="s">
        <v>63</v>
      </c>
      <c r="E100" s="174">
        <v>0</v>
      </c>
      <c r="F100" s="188">
        <v>20</v>
      </c>
      <c r="G100" s="169">
        <f>F100*E100</f>
        <v>0</v>
      </c>
      <c r="K100" s="244">
        <f>F100*$J$26</f>
        <v>13</v>
      </c>
      <c r="L100" s="248">
        <f>E100*K100</f>
        <v>0</v>
      </c>
      <c r="N100" s="245">
        <f>G100*0.05</f>
        <v>0</v>
      </c>
      <c r="O100" s="246">
        <f>G100-L100-N100</f>
        <v>0</v>
      </c>
      <c r="P100" s="243" t="e">
        <f>O100/G100</f>
        <v>#DIV/0!</v>
      </c>
    </row>
    <row r="101" spans="1:16" ht="61" customHeight="1" thickBot="1" x14ac:dyDescent="0.5">
      <c r="A101" s="142" t="s">
        <v>25</v>
      </c>
      <c r="B101" s="164" t="s">
        <v>131</v>
      </c>
      <c r="C101" s="172" t="s">
        <v>132</v>
      </c>
      <c r="D101" s="173" t="s">
        <v>79</v>
      </c>
      <c r="E101" s="174">
        <v>0</v>
      </c>
      <c r="F101" s="188">
        <v>50</v>
      </c>
      <c r="G101" s="169">
        <f>F101*E101</f>
        <v>0</v>
      </c>
      <c r="K101" s="244">
        <f>F101*$J$26</f>
        <v>32.5</v>
      </c>
      <c r="L101" s="248">
        <f>E101*K101</f>
        <v>0</v>
      </c>
      <c r="N101" s="245">
        <f>G101*0.05</f>
        <v>0</v>
      </c>
      <c r="O101" s="246">
        <f>G101-L101-N101</f>
        <v>0</v>
      </c>
      <c r="P101" s="243" t="e">
        <f>O101/G101</f>
        <v>#DIV/0!</v>
      </c>
    </row>
    <row r="102" spans="1:16" ht="68.150000000000006" hidden="1" customHeight="1" thickBot="1" x14ac:dyDescent="0.5">
      <c r="A102" s="142" t="s">
        <v>25</v>
      </c>
      <c r="B102" s="164" t="s">
        <v>133</v>
      </c>
      <c r="C102" s="172" t="s">
        <v>134</v>
      </c>
      <c r="D102" s="173" t="s">
        <v>63</v>
      </c>
      <c r="E102" s="174">
        <v>0</v>
      </c>
      <c r="F102" s="188">
        <v>280</v>
      </c>
      <c r="G102" s="169">
        <f>F102*E102</f>
        <v>0</v>
      </c>
      <c r="K102" s="244">
        <f>F102*$J$26</f>
        <v>182</v>
      </c>
      <c r="L102" s="248">
        <f>E102*K102</f>
        <v>0</v>
      </c>
      <c r="N102" s="245">
        <f>G102*0.05</f>
        <v>0</v>
      </c>
      <c r="O102" s="246">
        <f>G102-L102-N102</f>
        <v>0</v>
      </c>
      <c r="P102" s="243" t="e">
        <f>O102/G102</f>
        <v>#DIV/0!</v>
      </c>
    </row>
    <row r="103" spans="1:16" ht="18" thickBot="1" x14ac:dyDescent="0.5">
      <c r="B103" s="182" t="s">
        <v>45</v>
      </c>
      <c r="C103" s="432" t="s">
        <v>135</v>
      </c>
      <c r="D103" s="183"/>
      <c r="E103" s="303"/>
      <c r="F103" s="184"/>
      <c r="G103" s="304">
        <f>SUM(G99:G102)</f>
        <v>0</v>
      </c>
      <c r="K103" s="309"/>
      <c r="L103" s="309">
        <f>SUM(L99:L102)</f>
        <v>0</v>
      </c>
      <c r="M103" s="257" t="e">
        <f>#REF!*0.4</f>
        <v>#REF!</v>
      </c>
      <c r="N103" s="252">
        <f>SUM(N99:N102)</f>
        <v>0</v>
      </c>
      <c r="O103" s="252">
        <f>SUM(O99:O102)</f>
        <v>0</v>
      </c>
      <c r="P103" s="258" t="e">
        <f>O103/G103</f>
        <v>#DIV/0!</v>
      </c>
    </row>
    <row r="104" spans="1:16" ht="15.75" customHeight="1" x14ac:dyDescent="0.45">
      <c r="B104" s="214"/>
      <c r="C104" s="437"/>
      <c r="D104" s="215"/>
      <c r="E104" s="215"/>
      <c r="F104" s="215"/>
      <c r="G104" s="215"/>
      <c r="N104" s="254"/>
      <c r="O104" s="255"/>
      <c r="P104" s="243"/>
    </row>
    <row r="105" spans="1:16" ht="25.3" x14ac:dyDescent="0.45">
      <c r="B105" s="161" t="s">
        <v>47</v>
      </c>
      <c r="C105" s="449" t="s">
        <v>136</v>
      </c>
      <c r="D105" s="162"/>
      <c r="E105" s="162"/>
      <c r="F105" s="162"/>
      <c r="G105" s="301"/>
      <c r="K105" s="256"/>
      <c r="L105" s="256"/>
      <c r="N105" s="254"/>
      <c r="O105" s="255"/>
      <c r="P105" s="243"/>
    </row>
    <row r="106" spans="1:16" ht="64.5" customHeight="1" x14ac:dyDescent="0.45">
      <c r="A106" s="142" t="s">
        <v>25</v>
      </c>
      <c r="B106" s="164" t="s">
        <v>137</v>
      </c>
      <c r="C106" s="194" t="s">
        <v>490</v>
      </c>
      <c r="D106" s="173" t="s">
        <v>63</v>
      </c>
      <c r="E106" s="174">
        <v>70</v>
      </c>
      <c r="F106" s="188">
        <v>30</v>
      </c>
      <c r="G106" s="169">
        <f t="shared" ref="G106:G116" si="24">F106*E106</f>
        <v>2100</v>
      </c>
      <c r="I106" s="158"/>
      <c r="K106" s="244">
        <f t="shared" ref="K106:K116" si="25">F106*$J$26</f>
        <v>19.5</v>
      </c>
      <c r="L106" s="248">
        <f t="shared" ref="L106:L116" si="26">E106*K106</f>
        <v>1365</v>
      </c>
      <c r="N106" s="245">
        <f t="shared" ref="N106:N116" si="27">G106*0.05</f>
        <v>105</v>
      </c>
      <c r="O106" s="246">
        <f t="shared" ref="O106:O116" si="28">G106-L106-N106</f>
        <v>630</v>
      </c>
      <c r="P106" s="243">
        <f t="shared" ref="P106:P117" si="29">O106/G106</f>
        <v>0.3</v>
      </c>
    </row>
    <row r="107" spans="1:16" ht="63" customHeight="1" x14ac:dyDescent="0.45">
      <c r="A107" s="142" t="s">
        <v>25</v>
      </c>
      <c r="B107" s="189" t="s">
        <v>138</v>
      </c>
      <c r="C107" s="193" t="s">
        <v>487</v>
      </c>
      <c r="D107" s="166" t="s">
        <v>63</v>
      </c>
      <c r="E107" s="167">
        <v>125</v>
      </c>
      <c r="F107" s="190">
        <v>30</v>
      </c>
      <c r="G107" s="168">
        <f t="shared" si="24"/>
        <v>3750</v>
      </c>
      <c r="I107" s="216" t="s">
        <v>139</v>
      </c>
      <c r="K107" s="244">
        <f t="shared" si="25"/>
        <v>19.5</v>
      </c>
      <c r="L107" s="248">
        <f t="shared" si="26"/>
        <v>2437.5</v>
      </c>
      <c r="N107" s="245">
        <f t="shared" si="27"/>
        <v>187.5</v>
      </c>
      <c r="O107" s="246">
        <f t="shared" si="28"/>
        <v>1125</v>
      </c>
      <c r="P107" s="243">
        <f t="shared" si="29"/>
        <v>0.3</v>
      </c>
    </row>
    <row r="108" spans="1:16" ht="59.25" hidden="1" customHeight="1" x14ac:dyDescent="0.45">
      <c r="A108" s="142" t="s">
        <v>25</v>
      </c>
      <c r="B108" s="164" t="s">
        <v>140</v>
      </c>
      <c r="C108" s="194" t="s">
        <v>141</v>
      </c>
      <c r="D108" s="173" t="s">
        <v>63</v>
      </c>
      <c r="E108" s="174">
        <v>0</v>
      </c>
      <c r="F108" s="188">
        <v>30</v>
      </c>
      <c r="G108" s="169">
        <f t="shared" si="24"/>
        <v>0</v>
      </c>
      <c r="I108" s="158"/>
      <c r="K108" s="244">
        <f t="shared" si="25"/>
        <v>19.5</v>
      </c>
      <c r="L108" s="248">
        <f t="shared" si="26"/>
        <v>0</v>
      </c>
      <c r="N108" s="245">
        <f t="shared" si="27"/>
        <v>0</v>
      </c>
      <c r="O108" s="246">
        <f t="shared" si="28"/>
        <v>0</v>
      </c>
      <c r="P108" s="243" t="e">
        <f t="shared" si="29"/>
        <v>#DIV/0!</v>
      </c>
    </row>
    <row r="109" spans="1:16" ht="64.5" customHeight="1" x14ac:dyDescent="0.45">
      <c r="A109" s="142" t="s">
        <v>25</v>
      </c>
      <c r="B109" s="164" t="s">
        <v>142</v>
      </c>
      <c r="C109" s="194" t="s">
        <v>488</v>
      </c>
      <c r="D109" s="173" t="s">
        <v>27</v>
      </c>
      <c r="E109" s="174">
        <v>1</v>
      </c>
      <c r="F109" s="188">
        <v>2200</v>
      </c>
      <c r="G109" s="169">
        <f t="shared" si="24"/>
        <v>2200</v>
      </c>
      <c r="I109" s="216" t="s">
        <v>139</v>
      </c>
      <c r="K109" s="244">
        <f t="shared" si="25"/>
        <v>1430</v>
      </c>
      <c r="L109" s="248">
        <f t="shared" si="26"/>
        <v>1430</v>
      </c>
      <c r="N109" s="245">
        <f t="shared" si="27"/>
        <v>110</v>
      </c>
      <c r="O109" s="246">
        <f t="shared" si="28"/>
        <v>660</v>
      </c>
      <c r="P109" s="243">
        <f t="shared" si="29"/>
        <v>0.3</v>
      </c>
    </row>
    <row r="110" spans="1:16" ht="61.5" customHeight="1" x14ac:dyDescent="0.45">
      <c r="A110" s="142" t="s">
        <v>25</v>
      </c>
      <c r="B110" s="176" t="s">
        <v>143</v>
      </c>
      <c r="C110" s="196" t="s">
        <v>489</v>
      </c>
      <c r="D110" s="178" t="s">
        <v>27</v>
      </c>
      <c r="E110" s="186">
        <v>1</v>
      </c>
      <c r="F110" s="187">
        <v>1000</v>
      </c>
      <c r="G110" s="179">
        <f t="shared" si="24"/>
        <v>1000</v>
      </c>
      <c r="I110" s="216" t="s">
        <v>139</v>
      </c>
      <c r="K110" s="244">
        <f t="shared" si="25"/>
        <v>650</v>
      </c>
      <c r="L110" s="248">
        <f t="shared" si="26"/>
        <v>650</v>
      </c>
      <c r="N110" s="245">
        <f t="shared" si="27"/>
        <v>50</v>
      </c>
      <c r="O110" s="246">
        <f t="shared" si="28"/>
        <v>300</v>
      </c>
      <c r="P110" s="243">
        <f t="shared" si="29"/>
        <v>0.3</v>
      </c>
    </row>
    <row r="111" spans="1:16" ht="36" hidden="1" customHeight="1" x14ac:dyDescent="0.45">
      <c r="A111" s="142" t="s">
        <v>25</v>
      </c>
      <c r="B111" s="189" t="s">
        <v>144</v>
      </c>
      <c r="C111" s="165" t="s">
        <v>145</v>
      </c>
      <c r="D111" s="166" t="s">
        <v>63</v>
      </c>
      <c r="E111" s="167">
        <v>0</v>
      </c>
      <c r="F111" s="190">
        <v>60</v>
      </c>
      <c r="G111" s="168">
        <f t="shared" si="24"/>
        <v>0</v>
      </c>
      <c r="I111" s="216" t="s">
        <v>139</v>
      </c>
      <c r="K111" s="244">
        <f t="shared" si="25"/>
        <v>39</v>
      </c>
      <c r="L111" s="248">
        <f t="shared" si="26"/>
        <v>0</v>
      </c>
      <c r="N111" s="245">
        <f t="shared" si="27"/>
        <v>0</v>
      </c>
      <c r="O111" s="246">
        <f t="shared" si="28"/>
        <v>0</v>
      </c>
      <c r="P111" s="243" t="e">
        <f t="shared" si="29"/>
        <v>#DIV/0!</v>
      </c>
    </row>
    <row r="112" spans="1:16" ht="33" customHeight="1" thickBot="1" x14ac:dyDescent="0.5">
      <c r="A112" s="142" t="s">
        <v>25</v>
      </c>
      <c r="B112" s="164" t="s">
        <v>146</v>
      </c>
      <c r="C112" s="172" t="s">
        <v>147</v>
      </c>
      <c r="D112" s="173" t="s">
        <v>79</v>
      </c>
      <c r="E112" s="174">
        <v>90</v>
      </c>
      <c r="F112" s="188">
        <v>10</v>
      </c>
      <c r="G112" s="169">
        <f t="shared" si="24"/>
        <v>900</v>
      </c>
      <c r="I112" s="216" t="s">
        <v>139</v>
      </c>
      <c r="K112" s="244">
        <f t="shared" si="25"/>
        <v>6.5</v>
      </c>
      <c r="L112" s="248">
        <f t="shared" si="26"/>
        <v>585</v>
      </c>
      <c r="N112" s="245">
        <f t="shared" si="27"/>
        <v>45</v>
      </c>
      <c r="O112" s="246">
        <f t="shared" si="28"/>
        <v>270</v>
      </c>
      <c r="P112" s="243">
        <f t="shared" si="29"/>
        <v>0.3</v>
      </c>
    </row>
    <row r="113" spans="1:16" ht="45.75" hidden="1" customHeight="1" x14ac:dyDescent="0.45">
      <c r="A113" s="142" t="s">
        <v>25</v>
      </c>
      <c r="B113" s="164" t="s">
        <v>148</v>
      </c>
      <c r="C113" s="172" t="s">
        <v>149</v>
      </c>
      <c r="D113" s="173" t="s">
        <v>79</v>
      </c>
      <c r="E113" s="174">
        <v>0</v>
      </c>
      <c r="F113" s="188">
        <v>10</v>
      </c>
      <c r="G113" s="169">
        <f t="shared" si="24"/>
        <v>0</v>
      </c>
      <c r="I113" s="216" t="s">
        <v>139</v>
      </c>
      <c r="K113" s="244">
        <f t="shared" si="25"/>
        <v>6.5</v>
      </c>
      <c r="L113" s="248">
        <f t="shared" si="26"/>
        <v>0</v>
      </c>
      <c r="N113" s="245">
        <f t="shared" si="27"/>
        <v>0</v>
      </c>
      <c r="O113" s="246">
        <f t="shared" si="28"/>
        <v>0</v>
      </c>
      <c r="P113" s="243" t="e">
        <f t="shared" si="29"/>
        <v>#DIV/0!</v>
      </c>
    </row>
    <row r="114" spans="1:16" ht="28.3" hidden="1" x14ac:dyDescent="0.45">
      <c r="A114" s="142" t="s">
        <v>25</v>
      </c>
      <c r="B114" s="176" t="s">
        <v>150</v>
      </c>
      <c r="C114" s="177" t="s">
        <v>151</v>
      </c>
      <c r="D114" s="178" t="s">
        <v>63</v>
      </c>
      <c r="E114" s="186">
        <v>0</v>
      </c>
      <c r="F114" s="187">
        <v>25</v>
      </c>
      <c r="G114" s="179">
        <f t="shared" si="24"/>
        <v>0</v>
      </c>
      <c r="K114" s="244">
        <f t="shared" si="25"/>
        <v>16.25</v>
      </c>
      <c r="L114" s="248">
        <f t="shared" si="26"/>
        <v>0</v>
      </c>
      <c r="N114" s="245">
        <f t="shared" si="27"/>
        <v>0</v>
      </c>
      <c r="O114" s="246">
        <f t="shared" si="28"/>
        <v>0</v>
      </c>
      <c r="P114" s="243" t="e">
        <f t="shared" si="29"/>
        <v>#DIV/0!</v>
      </c>
    </row>
    <row r="115" spans="1:16" ht="28.3" hidden="1" x14ac:dyDescent="0.45">
      <c r="A115" s="142" t="s">
        <v>25</v>
      </c>
      <c r="B115" s="164" t="s">
        <v>152</v>
      </c>
      <c r="C115" s="172" t="s">
        <v>153</v>
      </c>
      <c r="D115" s="173" t="s">
        <v>63</v>
      </c>
      <c r="E115" s="174">
        <v>0</v>
      </c>
      <c r="F115" s="188">
        <v>25</v>
      </c>
      <c r="G115" s="169">
        <f t="shared" si="24"/>
        <v>0</v>
      </c>
      <c r="K115" s="244">
        <f t="shared" si="25"/>
        <v>16.25</v>
      </c>
      <c r="L115" s="248">
        <f t="shared" si="26"/>
        <v>0</v>
      </c>
      <c r="N115" s="245">
        <f t="shared" si="27"/>
        <v>0</v>
      </c>
      <c r="O115" s="246">
        <f t="shared" si="28"/>
        <v>0</v>
      </c>
      <c r="P115" s="243" t="e">
        <f t="shared" si="29"/>
        <v>#DIV/0!</v>
      </c>
    </row>
    <row r="116" spans="1:16" ht="21.75" hidden="1" customHeight="1" thickBot="1" x14ac:dyDescent="0.5">
      <c r="A116" s="142" t="s">
        <v>25</v>
      </c>
      <c r="B116" s="164" t="s">
        <v>154</v>
      </c>
      <c r="C116" s="172" t="s">
        <v>155</v>
      </c>
      <c r="D116" s="173" t="s">
        <v>27</v>
      </c>
      <c r="E116" s="174">
        <v>0</v>
      </c>
      <c r="F116" s="188">
        <v>250</v>
      </c>
      <c r="G116" s="169">
        <f t="shared" si="24"/>
        <v>0</v>
      </c>
      <c r="K116" s="244">
        <f t="shared" si="25"/>
        <v>162.5</v>
      </c>
      <c r="L116" s="248">
        <f t="shared" si="26"/>
        <v>0</v>
      </c>
      <c r="N116" s="245">
        <f t="shared" si="27"/>
        <v>0</v>
      </c>
      <c r="O116" s="246">
        <f t="shared" si="28"/>
        <v>0</v>
      </c>
      <c r="P116" s="243" t="e">
        <f t="shared" si="29"/>
        <v>#DIV/0!</v>
      </c>
    </row>
    <row r="117" spans="1:16" ht="15.75" customHeight="1" thickBot="1" x14ac:dyDescent="0.5">
      <c r="B117" s="182" t="s">
        <v>47</v>
      </c>
      <c r="C117" s="432" t="s">
        <v>156</v>
      </c>
      <c r="D117" s="183"/>
      <c r="E117" s="303"/>
      <c r="F117" s="184"/>
      <c r="G117" s="304">
        <f>SUM(G106:G116)</f>
        <v>9950</v>
      </c>
      <c r="K117" s="309"/>
      <c r="L117" s="309">
        <f>SUM(L106:L116)</f>
        <v>6467.5</v>
      </c>
      <c r="N117" s="252">
        <f>SUM(N106:N116)</f>
        <v>497.5</v>
      </c>
      <c r="O117" s="252">
        <f>SUM(O106:O116)</f>
        <v>2985</v>
      </c>
      <c r="P117" s="258">
        <f t="shared" si="29"/>
        <v>0.3</v>
      </c>
    </row>
    <row r="118" spans="1:16" ht="15.75" customHeight="1" x14ac:dyDescent="0.45">
      <c r="B118" s="214"/>
      <c r="C118" s="437"/>
      <c r="D118" s="215"/>
      <c r="E118" s="215"/>
      <c r="F118" s="215"/>
      <c r="G118" s="215"/>
      <c r="N118" s="254"/>
      <c r="O118" s="255"/>
      <c r="P118" s="243"/>
    </row>
    <row r="119" spans="1:16" ht="25.3" x14ac:dyDescent="0.45">
      <c r="B119" s="161" t="s">
        <v>52</v>
      </c>
      <c r="C119" s="449" t="s">
        <v>157</v>
      </c>
      <c r="D119" s="217"/>
      <c r="E119" s="217"/>
      <c r="F119" s="217"/>
      <c r="G119" s="313"/>
      <c r="K119" s="256"/>
      <c r="L119" s="256"/>
      <c r="N119" s="254"/>
      <c r="O119" s="255"/>
      <c r="P119" s="243"/>
    </row>
    <row r="120" spans="1:16" ht="51.65" customHeight="1" thickBot="1" x14ac:dyDescent="0.5">
      <c r="A120" s="142" t="s">
        <v>25</v>
      </c>
      <c r="B120" s="191" t="s">
        <v>158</v>
      </c>
      <c r="C120" s="194" t="s">
        <v>484</v>
      </c>
      <c r="D120" s="458" t="s">
        <v>27</v>
      </c>
      <c r="E120" s="459">
        <v>1</v>
      </c>
      <c r="F120" s="460">
        <v>4000</v>
      </c>
      <c r="G120" s="461">
        <f>F120*E120</f>
        <v>4000</v>
      </c>
      <c r="H120" s="218" t="s">
        <v>473</v>
      </c>
      <c r="K120" s="244">
        <f>F120*$J$26</f>
        <v>2600</v>
      </c>
      <c r="L120" s="248">
        <f>E120*K120</f>
        <v>2600</v>
      </c>
      <c r="N120" s="245">
        <f>G120*0.05</f>
        <v>200</v>
      </c>
      <c r="O120" s="246">
        <f>G120-L120-N120</f>
        <v>1200</v>
      </c>
      <c r="P120" s="243">
        <f>O120/G120</f>
        <v>0.3</v>
      </c>
    </row>
    <row r="121" spans="1:16" ht="54.65" hidden="1" customHeight="1" thickBot="1" x14ac:dyDescent="0.5">
      <c r="A121" s="142" t="s">
        <v>25</v>
      </c>
      <c r="B121" s="191" t="s">
        <v>159</v>
      </c>
      <c r="C121" s="194" t="s">
        <v>160</v>
      </c>
      <c r="D121" s="173" t="s">
        <v>63</v>
      </c>
      <c r="E121" s="174">
        <v>0</v>
      </c>
      <c r="F121" s="188">
        <v>41</v>
      </c>
      <c r="G121" s="169">
        <f>F121*E121</f>
        <v>0</v>
      </c>
      <c r="K121" s="244">
        <f>F121*$J$26</f>
        <v>26.650000000000002</v>
      </c>
      <c r="L121" s="248">
        <f>E121*K121</f>
        <v>0</v>
      </c>
      <c r="N121" s="245">
        <f>G121*0.05</f>
        <v>0</v>
      </c>
      <c r="O121" s="246">
        <f>G121-L121-N121</f>
        <v>0</v>
      </c>
      <c r="P121" s="243" t="e">
        <f>O121/G121</f>
        <v>#DIV/0!</v>
      </c>
    </row>
    <row r="122" spans="1:16" ht="18" thickBot="1" x14ac:dyDescent="0.5">
      <c r="B122" s="182" t="s">
        <v>52</v>
      </c>
      <c r="C122" s="432" t="s">
        <v>161</v>
      </c>
      <c r="D122" s="183"/>
      <c r="E122" s="303"/>
      <c r="F122" s="184"/>
      <c r="G122" s="304">
        <f>SUM(G120:G121)</f>
        <v>4000</v>
      </c>
      <c r="K122" s="309"/>
      <c r="L122" s="309">
        <f>SUM(L120:L121)</f>
        <v>2600</v>
      </c>
      <c r="N122" s="252">
        <f>SUM(N120:N121)</f>
        <v>200</v>
      </c>
      <c r="O122" s="252">
        <f>SUM(O120:O121)</f>
        <v>1200</v>
      </c>
      <c r="P122" s="258">
        <f>O122/G122</f>
        <v>0.3</v>
      </c>
    </row>
    <row r="123" spans="1:16" ht="15.75" customHeight="1" x14ac:dyDescent="0.45">
      <c r="B123" s="214"/>
      <c r="C123" s="437"/>
      <c r="D123" s="215"/>
      <c r="E123" s="215"/>
      <c r="F123" s="215"/>
      <c r="G123" s="215"/>
      <c r="N123" s="254"/>
      <c r="O123" s="255"/>
      <c r="P123" s="243"/>
    </row>
    <row r="124" spans="1:16" ht="25.3" x14ac:dyDescent="0.45">
      <c r="B124" s="161" t="s">
        <v>56</v>
      </c>
      <c r="C124" s="449" t="s">
        <v>162</v>
      </c>
      <c r="D124" s="162"/>
      <c r="E124" s="162"/>
      <c r="F124" s="162"/>
      <c r="G124" s="185"/>
      <c r="K124" s="256"/>
      <c r="L124" s="256"/>
      <c r="N124" s="254"/>
      <c r="O124" s="255"/>
      <c r="P124" s="243"/>
    </row>
    <row r="125" spans="1:16" ht="15.75" customHeight="1" x14ac:dyDescent="0.45">
      <c r="B125" s="219"/>
      <c r="C125" s="438" t="s">
        <v>163</v>
      </c>
      <c r="D125" s="220"/>
      <c r="E125" s="220"/>
      <c r="F125" s="220"/>
      <c r="G125" s="221"/>
      <c r="K125" s="259"/>
      <c r="L125" s="259"/>
      <c r="N125" s="254"/>
      <c r="O125" s="255"/>
      <c r="P125" s="243"/>
    </row>
    <row r="126" spans="1:16" ht="68.150000000000006" customHeight="1" x14ac:dyDescent="0.45">
      <c r="A126" s="142" t="s">
        <v>42</v>
      </c>
      <c r="B126" s="189" t="s">
        <v>164</v>
      </c>
      <c r="C126" s="165" t="s">
        <v>502</v>
      </c>
      <c r="D126" s="166" t="s">
        <v>15</v>
      </c>
      <c r="E126" s="167">
        <v>11</v>
      </c>
      <c r="F126" s="190">
        <v>400</v>
      </c>
      <c r="G126" s="202">
        <f>F126*E126</f>
        <v>4400</v>
      </c>
      <c r="H126" s="218" t="s">
        <v>165</v>
      </c>
      <c r="K126" s="244">
        <f>F126*$J$26</f>
        <v>260</v>
      </c>
      <c r="L126" s="248">
        <f>E126*K126</f>
        <v>2860</v>
      </c>
      <c r="N126" s="245">
        <f>G126*0.05</f>
        <v>220</v>
      </c>
      <c r="O126" s="246">
        <f>G126-L126-N126</f>
        <v>1320</v>
      </c>
      <c r="P126" s="243">
        <f t="shared" ref="P126:P131" si="30">O126/G126</f>
        <v>0.3</v>
      </c>
    </row>
    <row r="127" spans="1:16" ht="15.9" x14ac:dyDescent="0.45">
      <c r="A127" s="142" t="s">
        <v>42</v>
      </c>
      <c r="B127" s="164" t="s">
        <v>166</v>
      </c>
      <c r="C127" s="172" t="s">
        <v>167</v>
      </c>
      <c r="D127" s="173" t="s">
        <v>15</v>
      </c>
      <c r="E127" s="174">
        <v>2</v>
      </c>
      <c r="F127" s="188">
        <v>350</v>
      </c>
      <c r="G127" s="169">
        <f>F127*E127</f>
        <v>700</v>
      </c>
      <c r="K127" s="244">
        <f>F127*$J$26</f>
        <v>227.5</v>
      </c>
      <c r="L127" s="248">
        <f>E127*K127</f>
        <v>455</v>
      </c>
      <c r="N127" s="245">
        <f>G127*0.05</f>
        <v>35</v>
      </c>
      <c r="O127" s="246">
        <f>G127-L127-N127</f>
        <v>210</v>
      </c>
      <c r="P127" s="243">
        <f t="shared" si="30"/>
        <v>0.3</v>
      </c>
    </row>
    <row r="128" spans="1:16" ht="28.3" hidden="1" x14ac:dyDescent="0.45">
      <c r="A128" s="142" t="s">
        <v>42</v>
      </c>
      <c r="B128" s="176" t="s">
        <v>168</v>
      </c>
      <c r="C128" s="177" t="s">
        <v>169</v>
      </c>
      <c r="D128" s="178" t="s">
        <v>15</v>
      </c>
      <c r="E128" s="186">
        <v>0</v>
      </c>
      <c r="F128" s="187">
        <v>300</v>
      </c>
      <c r="G128" s="179">
        <f>F128*E128</f>
        <v>0</v>
      </c>
      <c r="H128" s="218" t="s">
        <v>170</v>
      </c>
      <c r="K128" s="244">
        <f>F128*$J$26</f>
        <v>195</v>
      </c>
      <c r="L128" s="248">
        <f>E128*K128</f>
        <v>0</v>
      </c>
      <c r="N128" s="245">
        <f>G128*0.05</f>
        <v>0</v>
      </c>
      <c r="O128" s="246">
        <f>G128-L128-N128</f>
        <v>0</v>
      </c>
      <c r="P128" s="243" t="e">
        <f t="shared" si="30"/>
        <v>#DIV/0!</v>
      </c>
    </row>
    <row r="129" spans="1:16" ht="28.3" hidden="1" x14ac:dyDescent="0.45">
      <c r="A129" s="142" t="s">
        <v>42</v>
      </c>
      <c r="B129" s="164" t="s">
        <v>171</v>
      </c>
      <c r="C129" s="172" t="s">
        <v>172</v>
      </c>
      <c r="D129" s="173" t="s">
        <v>15</v>
      </c>
      <c r="E129" s="174">
        <v>0</v>
      </c>
      <c r="F129" s="188">
        <v>200</v>
      </c>
      <c r="G129" s="169">
        <f>F129*E129</f>
        <v>0</v>
      </c>
      <c r="K129" s="244">
        <f>F129*$J$26</f>
        <v>130</v>
      </c>
      <c r="L129" s="248">
        <f>E129*K129</f>
        <v>0</v>
      </c>
      <c r="N129" s="245">
        <f>G129*0.05</f>
        <v>0</v>
      </c>
      <c r="O129" s="246">
        <f>G129-L129-N129</f>
        <v>0</v>
      </c>
      <c r="P129" s="243" t="e">
        <f t="shared" si="30"/>
        <v>#DIV/0!</v>
      </c>
    </row>
    <row r="130" spans="1:16" ht="66.75" customHeight="1" thickBot="1" x14ac:dyDescent="0.5">
      <c r="A130" s="142" t="s">
        <v>42</v>
      </c>
      <c r="B130" s="164" t="s">
        <v>173</v>
      </c>
      <c r="C130" s="172" t="s">
        <v>501</v>
      </c>
      <c r="D130" s="173" t="s">
        <v>15</v>
      </c>
      <c r="E130" s="174">
        <v>6</v>
      </c>
      <c r="F130" s="188">
        <v>100</v>
      </c>
      <c r="G130" s="169">
        <f>F130*E130</f>
        <v>600</v>
      </c>
      <c r="K130" s="244">
        <f>F130*$J$26</f>
        <v>65</v>
      </c>
      <c r="L130" s="248">
        <f>E130*K130</f>
        <v>390</v>
      </c>
      <c r="N130" s="245">
        <f>G130*0.05</f>
        <v>30</v>
      </c>
      <c r="O130" s="246">
        <f>G130-L130-N130</f>
        <v>180</v>
      </c>
      <c r="P130" s="243">
        <f t="shared" si="30"/>
        <v>0.3</v>
      </c>
    </row>
    <row r="131" spans="1:16" ht="18" thickBot="1" x14ac:dyDescent="0.5">
      <c r="B131" s="182"/>
      <c r="C131" s="432" t="s">
        <v>174</v>
      </c>
      <c r="D131" s="183"/>
      <c r="E131" s="303"/>
      <c r="F131" s="184"/>
      <c r="G131" s="222">
        <f>SUM(G126:G130)</f>
        <v>5700</v>
      </c>
      <c r="K131" s="309"/>
      <c r="L131" s="309">
        <f>SUM(L126:L130)</f>
        <v>3705</v>
      </c>
      <c r="N131" s="252">
        <f>SUM(N126:N130)</f>
        <v>285</v>
      </c>
      <c r="O131" s="252">
        <f>SUM(O126:O130)</f>
        <v>1710</v>
      </c>
      <c r="P131" s="258">
        <f t="shared" si="30"/>
        <v>0.3</v>
      </c>
    </row>
    <row r="132" spans="1:16" ht="15.9" x14ac:dyDescent="0.45">
      <c r="B132" s="219"/>
      <c r="C132" s="438" t="s">
        <v>175</v>
      </c>
      <c r="D132" s="220"/>
      <c r="E132" s="220"/>
      <c r="F132" s="220"/>
      <c r="G132" s="221"/>
      <c r="K132" s="259"/>
      <c r="L132" s="259"/>
      <c r="N132" s="254"/>
      <c r="O132" s="255"/>
      <c r="P132" s="243"/>
    </row>
    <row r="133" spans="1:16" ht="55.5" customHeight="1" x14ac:dyDescent="0.45">
      <c r="A133" s="142" t="s">
        <v>42</v>
      </c>
      <c r="B133" s="164" t="s">
        <v>176</v>
      </c>
      <c r="C133" s="172" t="s">
        <v>177</v>
      </c>
      <c r="D133" s="173" t="s">
        <v>15</v>
      </c>
      <c r="E133" s="174">
        <v>1</v>
      </c>
      <c r="F133" s="188">
        <v>400</v>
      </c>
      <c r="G133" s="179">
        <f>F133*E133</f>
        <v>400</v>
      </c>
      <c r="K133" s="244">
        <f>F133*$J$26</f>
        <v>260</v>
      </c>
      <c r="L133" s="248">
        <f>E133*K133</f>
        <v>260</v>
      </c>
      <c r="N133" s="245">
        <f>G133*0.05</f>
        <v>20</v>
      </c>
      <c r="O133" s="246">
        <f>G133-L133-N133</f>
        <v>120</v>
      </c>
      <c r="P133" s="243">
        <f>O133/G133</f>
        <v>0.3</v>
      </c>
    </row>
    <row r="134" spans="1:16" ht="57.75" customHeight="1" thickBot="1" x14ac:dyDescent="0.5">
      <c r="A134" s="142" t="s">
        <v>42</v>
      </c>
      <c r="B134" s="164" t="s">
        <v>178</v>
      </c>
      <c r="C134" s="172" t="s">
        <v>179</v>
      </c>
      <c r="D134" s="173" t="s">
        <v>15</v>
      </c>
      <c r="E134" s="174">
        <v>1</v>
      </c>
      <c r="F134" s="188">
        <v>400</v>
      </c>
      <c r="G134" s="169">
        <f>F134*E134</f>
        <v>400</v>
      </c>
      <c r="K134" s="244">
        <f>F134*$J$26</f>
        <v>260</v>
      </c>
      <c r="L134" s="248">
        <f>E134*K134</f>
        <v>260</v>
      </c>
      <c r="N134" s="245">
        <f>G134*0.05</f>
        <v>20</v>
      </c>
      <c r="O134" s="246">
        <f>G134-L134-N134</f>
        <v>120</v>
      </c>
      <c r="P134" s="243">
        <f>O134/G134</f>
        <v>0.3</v>
      </c>
    </row>
    <row r="135" spans="1:16" ht="18" thickBot="1" x14ac:dyDescent="0.5">
      <c r="B135" s="182"/>
      <c r="C135" s="432" t="s">
        <v>180</v>
      </c>
      <c r="D135" s="183"/>
      <c r="E135" s="303"/>
      <c r="F135" s="184"/>
      <c r="G135" s="222">
        <f>SUM(G133:G134)</f>
        <v>800</v>
      </c>
      <c r="K135" s="309"/>
      <c r="L135" s="309">
        <f>SUM(L133:L134)</f>
        <v>520</v>
      </c>
      <c r="N135" s="252">
        <f>SUM(N133:N134)</f>
        <v>40</v>
      </c>
      <c r="O135" s="252">
        <f>SUM(O133:O134)</f>
        <v>240</v>
      </c>
      <c r="P135" s="258">
        <f>O135/G135</f>
        <v>0.3</v>
      </c>
    </row>
    <row r="136" spans="1:16" ht="15.9" x14ac:dyDescent="0.45">
      <c r="B136" s="219"/>
      <c r="C136" s="438" t="s">
        <v>181</v>
      </c>
      <c r="D136" s="220"/>
      <c r="E136" s="220"/>
      <c r="F136" s="220"/>
      <c r="G136" s="221"/>
      <c r="K136" s="259"/>
      <c r="L136" s="259"/>
      <c r="N136" s="254"/>
      <c r="O136" s="255"/>
      <c r="P136" s="243"/>
    </row>
    <row r="137" spans="1:16" ht="74.25" customHeight="1" x14ac:dyDescent="0.45">
      <c r="A137" s="142" t="s">
        <v>42</v>
      </c>
      <c r="B137" s="164" t="s">
        <v>182</v>
      </c>
      <c r="C137" s="172" t="s">
        <v>503</v>
      </c>
      <c r="D137" s="173" t="s">
        <v>15</v>
      </c>
      <c r="E137" s="174">
        <v>9</v>
      </c>
      <c r="F137" s="188">
        <v>350</v>
      </c>
      <c r="G137" s="179">
        <f t="shared" ref="G137:G142" si="31">F137*E137</f>
        <v>3150</v>
      </c>
      <c r="H137" s="218" t="s">
        <v>183</v>
      </c>
      <c r="K137" s="244">
        <f t="shared" ref="K137:K142" si="32">F137*$J$26</f>
        <v>227.5</v>
      </c>
      <c r="L137" s="248">
        <f t="shared" ref="L137:L142" si="33">E137*K137</f>
        <v>2047.5</v>
      </c>
      <c r="N137" s="245">
        <f t="shared" ref="N137:N142" si="34">G137*0.05</f>
        <v>157.5</v>
      </c>
      <c r="O137" s="246">
        <f t="shared" ref="O137:O142" si="35">G137-L137-N137</f>
        <v>945</v>
      </c>
      <c r="P137" s="243">
        <f t="shared" ref="P137:P143" si="36">O137/G137</f>
        <v>0.3</v>
      </c>
    </row>
    <row r="138" spans="1:16" ht="77.150000000000006" hidden="1" customHeight="1" x14ac:dyDescent="0.45">
      <c r="A138" s="142" t="s">
        <v>42</v>
      </c>
      <c r="B138" s="164" t="s">
        <v>184</v>
      </c>
      <c r="C138" s="172" t="s">
        <v>185</v>
      </c>
      <c r="D138" s="173" t="s">
        <v>15</v>
      </c>
      <c r="E138" s="174">
        <v>0</v>
      </c>
      <c r="F138" s="188">
        <v>300</v>
      </c>
      <c r="G138" s="169">
        <f t="shared" si="31"/>
        <v>0</v>
      </c>
      <c r="K138" s="244">
        <f t="shared" si="32"/>
        <v>195</v>
      </c>
      <c r="L138" s="248">
        <f t="shared" si="33"/>
        <v>0</v>
      </c>
      <c r="N138" s="245">
        <f t="shared" si="34"/>
        <v>0</v>
      </c>
      <c r="O138" s="246">
        <f t="shared" si="35"/>
        <v>0</v>
      </c>
      <c r="P138" s="243" t="e">
        <f t="shared" si="36"/>
        <v>#DIV/0!</v>
      </c>
    </row>
    <row r="139" spans="1:16" ht="34.5" hidden="1" customHeight="1" x14ac:dyDescent="0.45">
      <c r="A139" s="142" t="s">
        <v>42</v>
      </c>
      <c r="B139" s="164" t="s">
        <v>186</v>
      </c>
      <c r="C139" s="172" t="s">
        <v>187</v>
      </c>
      <c r="D139" s="173" t="s">
        <v>15</v>
      </c>
      <c r="E139" s="174">
        <v>0</v>
      </c>
      <c r="F139" s="188">
        <v>250</v>
      </c>
      <c r="G139" s="169">
        <f t="shared" si="31"/>
        <v>0</v>
      </c>
      <c r="H139" s="218" t="s">
        <v>188</v>
      </c>
      <c r="K139" s="244">
        <f t="shared" si="32"/>
        <v>162.5</v>
      </c>
      <c r="L139" s="248">
        <f t="shared" si="33"/>
        <v>0</v>
      </c>
      <c r="N139" s="245">
        <f t="shared" si="34"/>
        <v>0</v>
      </c>
      <c r="O139" s="246">
        <f t="shared" si="35"/>
        <v>0</v>
      </c>
      <c r="P139" s="243" t="e">
        <f t="shared" si="36"/>
        <v>#DIV/0!</v>
      </c>
    </row>
    <row r="140" spans="1:16" ht="56.6" hidden="1" x14ac:dyDescent="0.45">
      <c r="A140" s="142" t="s">
        <v>42</v>
      </c>
      <c r="B140" s="164" t="s">
        <v>189</v>
      </c>
      <c r="C140" s="172" t="s">
        <v>190</v>
      </c>
      <c r="D140" s="173" t="s">
        <v>63</v>
      </c>
      <c r="E140" s="174">
        <v>0</v>
      </c>
      <c r="F140" s="188">
        <v>40</v>
      </c>
      <c r="G140" s="169">
        <f t="shared" si="31"/>
        <v>0</v>
      </c>
      <c r="K140" s="244">
        <f t="shared" si="32"/>
        <v>26</v>
      </c>
      <c r="L140" s="248">
        <f t="shared" si="33"/>
        <v>0</v>
      </c>
      <c r="N140" s="245">
        <f t="shared" si="34"/>
        <v>0</v>
      </c>
      <c r="O140" s="246">
        <f t="shared" si="35"/>
        <v>0</v>
      </c>
      <c r="P140" s="243" t="e">
        <f t="shared" si="36"/>
        <v>#DIV/0!</v>
      </c>
    </row>
    <row r="141" spans="1:16" ht="99" hidden="1" x14ac:dyDescent="0.45">
      <c r="A141" s="142" t="s">
        <v>42</v>
      </c>
      <c r="B141" s="164" t="s">
        <v>191</v>
      </c>
      <c r="C141" s="172" t="s">
        <v>192</v>
      </c>
      <c r="D141" s="173" t="s">
        <v>63</v>
      </c>
      <c r="E141" s="174">
        <v>0</v>
      </c>
      <c r="F141" s="188">
        <v>60</v>
      </c>
      <c r="G141" s="169">
        <f t="shared" si="31"/>
        <v>0</v>
      </c>
      <c r="K141" s="244">
        <f t="shared" si="32"/>
        <v>39</v>
      </c>
      <c r="L141" s="248">
        <f t="shared" si="33"/>
        <v>0</v>
      </c>
      <c r="N141" s="245">
        <f t="shared" si="34"/>
        <v>0</v>
      </c>
      <c r="O141" s="246">
        <f t="shared" si="35"/>
        <v>0</v>
      </c>
      <c r="P141" s="243" t="e">
        <f t="shared" si="36"/>
        <v>#DIV/0!</v>
      </c>
    </row>
    <row r="142" spans="1:16" ht="39.75" customHeight="1" thickBot="1" x14ac:dyDescent="0.5">
      <c r="A142" s="142" t="s">
        <v>42</v>
      </c>
      <c r="B142" s="164" t="s">
        <v>193</v>
      </c>
      <c r="C142" s="172" t="s">
        <v>194</v>
      </c>
      <c r="D142" s="173" t="s">
        <v>15</v>
      </c>
      <c r="E142" s="174">
        <v>1</v>
      </c>
      <c r="F142" s="188">
        <v>700</v>
      </c>
      <c r="G142" s="169">
        <f t="shared" si="31"/>
        <v>700</v>
      </c>
      <c r="K142" s="244">
        <f t="shared" si="32"/>
        <v>455</v>
      </c>
      <c r="L142" s="248">
        <f t="shared" si="33"/>
        <v>455</v>
      </c>
      <c r="M142" s="243"/>
      <c r="N142" s="245">
        <f t="shared" si="34"/>
        <v>35</v>
      </c>
      <c r="O142" s="246">
        <f t="shared" si="35"/>
        <v>210</v>
      </c>
      <c r="P142" s="243">
        <f t="shared" si="36"/>
        <v>0.3</v>
      </c>
    </row>
    <row r="143" spans="1:16" ht="15.75" customHeight="1" thickBot="1" x14ac:dyDescent="0.5">
      <c r="B143" s="182"/>
      <c r="C143" s="432" t="s">
        <v>195</v>
      </c>
      <c r="D143" s="183"/>
      <c r="E143" s="303"/>
      <c r="F143" s="184"/>
      <c r="G143" s="222">
        <f>SUM(G137:G142)</f>
        <v>3850</v>
      </c>
      <c r="K143" s="309"/>
      <c r="L143" s="309">
        <f>SUM(L137:L142)</f>
        <v>2502.5</v>
      </c>
      <c r="N143" s="252">
        <f>SUM(N137:N142)</f>
        <v>192.5</v>
      </c>
      <c r="O143" s="252">
        <f>SUM(O137:O142)</f>
        <v>1155</v>
      </c>
      <c r="P143" s="258">
        <f t="shared" si="36"/>
        <v>0.3</v>
      </c>
    </row>
    <row r="144" spans="1:16" ht="25" customHeight="1" x14ac:dyDescent="0.45">
      <c r="B144" s="219"/>
      <c r="C144" s="438" t="s">
        <v>196</v>
      </c>
      <c r="D144" s="220"/>
      <c r="E144" s="220"/>
      <c r="F144" s="220"/>
      <c r="G144" s="221"/>
      <c r="K144" s="259"/>
      <c r="L144" s="259"/>
      <c r="N144" s="254"/>
      <c r="O144" s="255"/>
      <c r="P144" s="243"/>
    </row>
    <row r="145" spans="1:20" ht="184.5" hidden="1" customHeight="1" x14ac:dyDescent="0.45">
      <c r="A145" s="142" t="s">
        <v>28</v>
      </c>
      <c r="B145" s="164" t="s">
        <v>197</v>
      </c>
      <c r="C145" s="194" t="s">
        <v>198</v>
      </c>
      <c r="D145" s="173" t="s">
        <v>15</v>
      </c>
      <c r="E145" s="174">
        <v>0</v>
      </c>
      <c r="F145" s="188">
        <v>65</v>
      </c>
      <c r="G145" s="179">
        <f t="shared" ref="G145:G150" si="37">F145*E145</f>
        <v>0</v>
      </c>
      <c r="K145" s="244">
        <f t="shared" ref="K145:K150" si="38">F145*$J$26</f>
        <v>42.25</v>
      </c>
      <c r="L145" s="248">
        <f t="shared" ref="L145:L150" si="39">E145*K145</f>
        <v>0</v>
      </c>
      <c r="N145" s="245">
        <f t="shared" ref="N145:N150" si="40">G145*0.05</f>
        <v>0</v>
      </c>
      <c r="O145" s="246">
        <f t="shared" ref="O145:O150" si="41">G145-L145-N145</f>
        <v>0</v>
      </c>
      <c r="P145" s="243" t="e">
        <f t="shared" ref="P145:P151" si="42">O145/G145</f>
        <v>#DIV/0!</v>
      </c>
    </row>
    <row r="146" spans="1:20" ht="169.5" customHeight="1" x14ac:dyDescent="0.45">
      <c r="A146" s="142" t="s">
        <v>28</v>
      </c>
      <c r="B146" s="164" t="s">
        <v>199</v>
      </c>
      <c r="C146" s="194" t="s">
        <v>465</v>
      </c>
      <c r="D146" s="173" t="s">
        <v>15</v>
      </c>
      <c r="E146" s="174">
        <v>100</v>
      </c>
      <c r="F146" s="188">
        <v>55</v>
      </c>
      <c r="G146" s="169">
        <f t="shared" si="37"/>
        <v>5500</v>
      </c>
      <c r="K146" s="244">
        <f t="shared" si="38"/>
        <v>35.75</v>
      </c>
      <c r="L146" s="248">
        <f t="shared" si="39"/>
        <v>3575</v>
      </c>
      <c r="N146" s="245">
        <f t="shared" si="40"/>
        <v>275</v>
      </c>
      <c r="O146" s="246">
        <f t="shared" si="41"/>
        <v>1650</v>
      </c>
      <c r="P146" s="243">
        <f t="shared" si="42"/>
        <v>0.3</v>
      </c>
    </row>
    <row r="147" spans="1:20" ht="87" customHeight="1" x14ac:dyDescent="0.45">
      <c r="A147" s="142" t="s">
        <v>28</v>
      </c>
      <c r="B147" s="314" t="s">
        <v>200</v>
      </c>
      <c r="C147" s="172" t="s">
        <v>201</v>
      </c>
      <c r="D147" s="223" t="s">
        <v>15</v>
      </c>
      <c r="E147" s="174">
        <v>1</v>
      </c>
      <c r="F147" s="188">
        <v>500</v>
      </c>
      <c r="G147" s="224">
        <f t="shared" si="37"/>
        <v>500</v>
      </c>
      <c r="H147" s="225" t="s">
        <v>438</v>
      </c>
      <c r="K147" s="244">
        <f t="shared" si="38"/>
        <v>325</v>
      </c>
      <c r="L147" s="248">
        <f t="shared" si="39"/>
        <v>325</v>
      </c>
      <c r="N147" s="245">
        <f t="shared" si="40"/>
        <v>25</v>
      </c>
      <c r="O147" s="246">
        <f t="shared" si="41"/>
        <v>150</v>
      </c>
      <c r="P147" s="243">
        <f t="shared" si="42"/>
        <v>0.3</v>
      </c>
    </row>
    <row r="148" spans="1:20" ht="73.5" customHeight="1" thickBot="1" x14ac:dyDescent="0.5">
      <c r="A148" s="142" t="s">
        <v>28</v>
      </c>
      <c r="B148" s="164" t="s">
        <v>202</v>
      </c>
      <c r="C148" s="198" t="s">
        <v>203</v>
      </c>
      <c r="D148" s="173" t="s">
        <v>15</v>
      </c>
      <c r="E148" s="174">
        <v>1</v>
      </c>
      <c r="F148" s="188">
        <v>500</v>
      </c>
      <c r="G148" s="224">
        <f t="shared" si="37"/>
        <v>500</v>
      </c>
      <c r="H148" s="225" t="s">
        <v>204</v>
      </c>
      <c r="K148" s="244">
        <f t="shared" si="38"/>
        <v>325</v>
      </c>
      <c r="L148" s="248">
        <f t="shared" si="39"/>
        <v>325</v>
      </c>
      <c r="N148" s="245">
        <f t="shared" si="40"/>
        <v>25</v>
      </c>
      <c r="O148" s="246">
        <f t="shared" si="41"/>
        <v>150</v>
      </c>
      <c r="P148" s="243">
        <f t="shared" si="42"/>
        <v>0.3</v>
      </c>
    </row>
    <row r="149" spans="1:20" ht="76.5" hidden="1" customHeight="1" x14ac:dyDescent="0.45">
      <c r="A149" s="142" t="s">
        <v>28</v>
      </c>
      <c r="B149" s="164" t="s">
        <v>205</v>
      </c>
      <c r="C149" s="194" t="s">
        <v>206</v>
      </c>
      <c r="D149" s="173" t="s">
        <v>15</v>
      </c>
      <c r="E149" s="174">
        <v>0</v>
      </c>
      <c r="F149" s="188">
        <v>200</v>
      </c>
      <c r="G149" s="169">
        <f t="shared" si="37"/>
        <v>0</v>
      </c>
      <c r="K149" s="244">
        <f t="shared" si="38"/>
        <v>130</v>
      </c>
      <c r="L149" s="248">
        <f t="shared" si="39"/>
        <v>0</v>
      </c>
      <c r="N149" s="245">
        <f t="shared" si="40"/>
        <v>0</v>
      </c>
      <c r="O149" s="246">
        <f t="shared" si="41"/>
        <v>0</v>
      </c>
      <c r="P149" s="243" t="e">
        <f t="shared" si="42"/>
        <v>#DIV/0!</v>
      </c>
    </row>
    <row r="150" spans="1:20" ht="57" hidden="1" thickBot="1" x14ac:dyDescent="0.5">
      <c r="A150" s="142" t="s">
        <v>28</v>
      </c>
      <c r="B150" s="164" t="s">
        <v>207</v>
      </c>
      <c r="C150" s="194" t="s">
        <v>208</v>
      </c>
      <c r="D150" s="173" t="s">
        <v>209</v>
      </c>
      <c r="E150" s="174">
        <v>0</v>
      </c>
      <c r="F150" s="188">
        <v>180</v>
      </c>
      <c r="G150" s="169">
        <f t="shared" si="37"/>
        <v>0</v>
      </c>
      <c r="K150" s="244">
        <f t="shared" si="38"/>
        <v>117</v>
      </c>
      <c r="L150" s="248">
        <f t="shared" si="39"/>
        <v>0</v>
      </c>
      <c r="N150" s="245">
        <f t="shared" si="40"/>
        <v>0</v>
      </c>
      <c r="O150" s="246">
        <f t="shared" si="41"/>
        <v>0</v>
      </c>
      <c r="P150" s="243" t="e">
        <f t="shared" si="42"/>
        <v>#DIV/0!</v>
      </c>
    </row>
    <row r="151" spans="1:20" ht="18" thickBot="1" x14ac:dyDescent="0.5">
      <c r="B151" s="182"/>
      <c r="C151" s="432" t="s">
        <v>210</v>
      </c>
      <c r="D151" s="183"/>
      <c r="E151" s="303"/>
      <c r="F151" s="184"/>
      <c r="G151" s="222">
        <f>SUM(G145:G150)</f>
        <v>6500</v>
      </c>
      <c r="K151" s="309"/>
      <c r="L151" s="309">
        <f>SUM(L145:L148)</f>
        <v>4225</v>
      </c>
      <c r="N151" s="252">
        <f>SUM(N145:N148)</f>
        <v>325</v>
      </c>
      <c r="O151" s="252">
        <f>SUM(O145:O148)</f>
        <v>1950</v>
      </c>
      <c r="P151" s="258">
        <f t="shared" si="42"/>
        <v>0.3</v>
      </c>
    </row>
    <row r="152" spans="1:20" ht="15.9" x14ac:dyDescent="0.45">
      <c r="B152" s="220"/>
      <c r="C152" s="438" t="s">
        <v>211</v>
      </c>
      <c r="D152" s="220"/>
      <c r="E152" s="220"/>
      <c r="F152" s="220"/>
      <c r="G152" s="221"/>
      <c r="K152" s="260"/>
      <c r="L152" s="260"/>
      <c r="N152" s="254"/>
      <c r="O152" s="255"/>
      <c r="P152" s="243"/>
    </row>
    <row r="153" spans="1:20" ht="71.150000000000006" thickBot="1" x14ac:dyDescent="0.5">
      <c r="A153" s="142" t="s">
        <v>42</v>
      </c>
      <c r="B153" s="164" t="s">
        <v>212</v>
      </c>
      <c r="C153" s="172" t="s">
        <v>505</v>
      </c>
      <c r="D153" s="173" t="s">
        <v>15</v>
      </c>
      <c r="E153" s="174">
        <v>5</v>
      </c>
      <c r="F153" s="188">
        <v>400</v>
      </c>
      <c r="G153" s="179">
        <f>F153*E153</f>
        <v>2000</v>
      </c>
      <c r="K153" s="244">
        <f>F153*$J$26</f>
        <v>260</v>
      </c>
      <c r="L153" s="248">
        <f>E153*K153</f>
        <v>1300</v>
      </c>
      <c r="N153" s="245">
        <f>G153*0.05</f>
        <v>100</v>
      </c>
      <c r="O153" s="246">
        <f>G153-L153-N153</f>
        <v>600</v>
      </c>
      <c r="P153" s="243">
        <f>O153/G153</f>
        <v>0.3</v>
      </c>
    </row>
    <row r="154" spans="1:20" ht="79.5" hidden="1" customHeight="1" thickBot="1" x14ac:dyDescent="0.5">
      <c r="A154" s="142" t="s">
        <v>42</v>
      </c>
      <c r="B154" s="164" t="s">
        <v>213</v>
      </c>
      <c r="C154" s="172" t="s">
        <v>466</v>
      </c>
      <c r="D154" s="173" t="s">
        <v>15</v>
      </c>
      <c r="E154" s="174">
        <v>0</v>
      </c>
      <c r="F154" s="188">
        <v>800</v>
      </c>
      <c r="G154" s="169">
        <f>F154*E154</f>
        <v>0</v>
      </c>
      <c r="H154" s="142" t="s">
        <v>471</v>
      </c>
      <c r="K154" s="244">
        <f>F154*$J$26</f>
        <v>520</v>
      </c>
      <c r="L154" s="248">
        <f>E154*K154</f>
        <v>0</v>
      </c>
      <c r="N154" s="245">
        <f>G154*0.05</f>
        <v>0</v>
      </c>
      <c r="O154" s="246">
        <f>G154-L154-N154</f>
        <v>0</v>
      </c>
      <c r="P154" s="243" t="e">
        <f>O154/G154</f>
        <v>#DIV/0!</v>
      </c>
    </row>
    <row r="155" spans="1:20" ht="18" thickBot="1" x14ac:dyDescent="0.5">
      <c r="B155" s="182"/>
      <c r="C155" s="432" t="s">
        <v>214</v>
      </c>
      <c r="D155" s="183"/>
      <c r="E155" s="303"/>
      <c r="F155" s="184"/>
      <c r="G155" s="304">
        <f>SUM(G153:G154)</f>
        <v>2000</v>
      </c>
      <c r="K155" s="309"/>
      <c r="L155" s="309">
        <f>SUM(L153:L154)</f>
        <v>1300</v>
      </c>
      <c r="N155" s="252">
        <f>SUM(N153:N154)</f>
        <v>100</v>
      </c>
      <c r="O155" s="252">
        <f>SUM(O153:O154)</f>
        <v>600</v>
      </c>
      <c r="P155" s="258">
        <f>O155/G155</f>
        <v>0.3</v>
      </c>
    </row>
    <row r="156" spans="1:20" ht="15.75" customHeight="1" thickBot="1" x14ac:dyDescent="0.5">
      <c r="B156" s="226" t="s">
        <v>56</v>
      </c>
      <c r="C156" s="439" t="s">
        <v>215</v>
      </c>
      <c r="D156" s="227"/>
      <c r="E156" s="315"/>
      <c r="F156" s="228"/>
      <c r="G156" s="316">
        <f>SUM(G155,G151,G143,G135,G131)</f>
        <v>18850</v>
      </c>
      <c r="K156" s="317"/>
      <c r="L156" s="317">
        <f>SUM(L155+L151+L143+L135+L131)</f>
        <v>12252.5</v>
      </c>
      <c r="N156" s="318">
        <f>SUM(N155,N151,N143,N135,N131)</f>
        <v>942.5</v>
      </c>
      <c r="O156" s="261">
        <f>G156-L156-N156</f>
        <v>5655</v>
      </c>
      <c r="P156" s="262">
        <f>O156/G156</f>
        <v>0.3</v>
      </c>
    </row>
    <row r="157" spans="1:20" ht="11.25" customHeight="1" x14ac:dyDescent="0.45">
      <c r="B157" s="214"/>
      <c r="C157" s="437"/>
      <c r="D157" s="215"/>
      <c r="E157" s="215"/>
      <c r="F157" s="215"/>
      <c r="G157" s="215"/>
      <c r="N157" s="254"/>
      <c r="O157" s="255"/>
      <c r="P157" s="243"/>
    </row>
    <row r="158" spans="1:20" ht="25.3" x14ac:dyDescent="0.45">
      <c r="B158" s="161" t="s">
        <v>216</v>
      </c>
      <c r="C158" s="431" t="s">
        <v>217</v>
      </c>
      <c r="D158" s="162"/>
      <c r="E158" s="162"/>
      <c r="F158" s="162"/>
      <c r="G158" s="301"/>
      <c r="K158" s="256"/>
      <c r="L158" s="256"/>
      <c r="N158" s="254"/>
      <c r="O158" s="255"/>
      <c r="P158" s="243"/>
    </row>
    <row r="159" spans="1:20" ht="55.5" customHeight="1" x14ac:dyDescent="0.45">
      <c r="A159" s="142" t="s">
        <v>25</v>
      </c>
      <c r="B159" s="191" t="s">
        <v>218</v>
      </c>
      <c r="C159" s="194" t="s">
        <v>219</v>
      </c>
      <c r="D159" s="173" t="s">
        <v>27</v>
      </c>
      <c r="E159" s="174">
        <v>1</v>
      </c>
      <c r="F159" s="188">
        <v>5500</v>
      </c>
      <c r="G159" s="169">
        <f t="shared" ref="G159:G164" si="43">F159*E159</f>
        <v>5500</v>
      </c>
      <c r="K159" s="263">
        <v>0.35</v>
      </c>
      <c r="L159" s="248">
        <f t="shared" ref="L159:L164" si="44">G159*0.65</f>
        <v>3575</v>
      </c>
      <c r="N159" s="245">
        <f t="shared" ref="N159:N164" si="45">G159*0.05</f>
        <v>275</v>
      </c>
      <c r="O159" s="246">
        <f t="shared" ref="O159:O164" si="46">G159-L159-N159</f>
        <v>1650</v>
      </c>
      <c r="P159" s="243">
        <f t="shared" ref="P159:P165" si="47">O159/G159</f>
        <v>0.3</v>
      </c>
      <c r="T159" s="473" t="s">
        <v>474</v>
      </c>
    </row>
    <row r="160" spans="1:20" ht="64.5" customHeight="1" x14ac:dyDescent="0.45">
      <c r="A160" s="142" t="s">
        <v>25</v>
      </c>
      <c r="B160" s="191" t="s">
        <v>220</v>
      </c>
      <c r="C160" s="194" t="s">
        <v>221</v>
      </c>
      <c r="D160" s="173" t="s">
        <v>27</v>
      </c>
      <c r="E160" s="174">
        <v>1</v>
      </c>
      <c r="F160" s="188">
        <v>3600</v>
      </c>
      <c r="G160" s="169">
        <f t="shared" si="43"/>
        <v>3600</v>
      </c>
      <c r="K160" s="263">
        <v>0.4</v>
      </c>
      <c r="L160" s="248">
        <f t="shared" si="44"/>
        <v>2340</v>
      </c>
      <c r="N160" s="245">
        <f t="shared" si="45"/>
        <v>180</v>
      </c>
      <c r="O160" s="246">
        <f t="shared" si="46"/>
        <v>1080</v>
      </c>
      <c r="P160" s="243">
        <f t="shared" si="47"/>
        <v>0.3</v>
      </c>
      <c r="T160" s="474"/>
    </row>
    <row r="161" spans="1:20" ht="43.5" hidden="1" customHeight="1" x14ac:dyDescent="0.45">
      <c r="A161" s="142" t="s">
        <v>25</v>
      </c>
      <c r="B161" s="191" t="s">
        <v>222</v>
      </c>
      <c r="C161" s="194" t="s">
        <v>223</v>
      </c>
      <c r="D161" s="173" t="s">
        <v>15</v>
      </c>
      <c r="E161" s="174">
        <v>0</v>
      </c>
      <c r="F161" s="188">
        <v>750</v>
      </c>
      <c r="G161" s="272">
        <f t="shared" si="43"/>
        <v>0</v>
      </c>
      <c r="H161" s="270" t="s">
        <v>224</v>
      </c>
      <c r="K161" s="244">
        <f>F161*$J$26</f>
        <v>487.5</v>
      </c>
      <c r="L161" s="248">
        <f t="shared" si="44"/>
        <v>0</v>
      </c>
      <c r="N161" s="245">
        <f t="shared" si="45"/>
        <v>0</v>
      </c>
      <c r="O161" s="246">
        <f t="shared" si="46"/>
        <v>0</v>
      </c>
      <c r="P161" s="243" t="e">
        <f t="shared" si="47"/>
        <v>#DIV/0!</v>
      </c>
      <c r="T161" s="474"/>
    </row>
    <row r="162" spans="1:20" ht="56.6" hidden="1" x14ac:dyDescent="0.45">
      <c r="A162" s="142" t="s">
        <v>25</v>
      </c>
      <c r="B162" s="191" t="s">
        <v>225</v>
      </c>
      <c r="C162" s="194" t="s">
        <v>226</v>
      </c>
      <c r="D162" s="173" t="s">
        <v>227</v>
      </c>
      <c r="E162" s="174">
        <v>0</v>
      </c>
      <c r="F162" s="271">
        <v>250</v>
      </c>
      <c r="G162" s="273">
        <f t="shared" si="43"/>
        <v>0</v>
      </c>
      <c r="H162" s="269"/>
      <c r="K162" s="244">
        <f>F162*$J$26</f>
        <v>162.5</v>
      </c>
      <c r="L162" s="248">
        <f t="shared" si="44"/>
        <v>0</v>
      </c>
      <c r="N162" s="245">
        <f t="shared" si="45"/>
        <v>0</v>
      </c>
      <c r="O162" s="246">
        <f t="shared" si="46"/>
        <v>0</v>
      </c>
      <c r="P162" s="243" t="e">
        <f t="shared" si="47"/>
        <v>#DIV/0!</v>
      </c>
      <c r="T162" s="474"/>
    </row>
    <row r="163" spans="1:20" ht="70.75" hidden="1" x14ac:dyDescent="0.45">
      <c r="A163" s="142" t="s">
        <v>25</v>
      </c>
      <c r="B163" s="191" t="s">
        <v>228</v>
      </c>
      <c r="C163" s="194" t="s">
        <v>229</v>
      </c>
      <c r="D163" s="173" t="s">
        <v>209</v>
      </c>
      <c r="E163" s="174">
        <v>0</v>
      </c>
      <c r="F163" s="271">
        <v>250</v>
      </c>
      <c r="G163" s="274">
        <f t="shared" si="43"/>
        <v>0</v>
      </c>
      <c r="H163" s="269"/>
      <c r="K163" s="244">
        <f>F163*$J$26</f>
        <v>162.5</v>
      </c>
      <c r="L163" s="248">
        <f t="shared" si="44"/>
        <v>0</v>
      </c>
      <c r="N163" s="245">
        <f t="shared" si="45"/>
        <v>0</v>
      </c>
      <c r="O163" s="246">
        <f t="shared" si="46"/>
        <v>0</v>
      </c>
      <c r="P163" s="243" t="e">
        <f t="shared" si="47"/>
        <v>#DIV/0!</v>
      </c>
      <c r="T163" s="474"/>
    </row>
    <row r="164" spans="1:20" ht="63" customHeight="1" thickBot="1" x14ac:dyDescent="0.5">
      <c r="A164" s="142" t="s">
        <v>25</v>
      </c>
      <c r="B164" s="191" t="s">
        <v>228</v>
      </c>
      <c r="C164" s="172" t="s">
        <v>230</v>
      </c>
      <c r="D164" s="229" t="s">
        <v>27</v>
      </c>
      <c r="E164" s="174">
        <v>1</v>
      </c>
      <c r="F164" s="188">
        <v>1500</v>
      </c>
      <c r="G164" s="179">
        <f t="shared" si="43"/>
        <v>1500</v>
      </c>
      <c r="K164" s="263">
        <v>0.2</v>
      </c>
      <c r="L164" s="248">
        <f t="shared" si="44"/>
        <v>975</v>
      </c>
      <c r="N164" s="245">
        <f t="shared" si="45"/>
        <v>75</v>
      </c>
      <c r="O164" s="246">
        <f t="shared" si="46"/>
        <v>450</v>
      </c>
      <c r="P164" s="243">
        <f t="shared" si="47"/>
        <v>0.3</v>
      </c>
      <c r="T164" s="474"/>
    </row>
    <row r="165" spans="1:20" ht="15.75" customHeight="1" thickBot="1" x14ac:dyDescent="0.5">
      <c r="B165" s="182" t="s">
        <v>216</v>
      </c>
      <c r="C165" s="432" t="s">
        <v>231</v>
      </c>
      <c r="D165" s="183"/>
      <c r="E165" s="303"/>
      <c r="F165" s="184"/>
      <c r="G165" s="304">
        <f>SUM(G159:G164)</f>
        <v>10600</v>
      </c>
      <c r="K165" s="309"/>
      <c r="L165" s="309">
        <f>SUM(L159:L164)</f>
        <v>6890</v>
      </c>
      <c r="M165" s="257" t="e">
        <f>#REF!*0.6</f>
        <v>#REF!</v>
      </c>
      <c r="N165" s="252">
        <f>SUM(N159:N164)</f>
        <v>530</v>
      </c>
      <c r="O165" s="252">
        <f>SUM(O159:O164)</f>
        <v>3180</v>
      </c>
      <c r="P165" s="258">
        <f t="shared" si="47"/>
        <v>0.3</v>
      </c>
    </row>
    <row r="166" spans="1:20" ht="15.75" customHeight="1" x14ac:dyDescent="0.45">
      <c r="B166" s="214"/>
      <c r="C166" s="437"/>
      <c r="D166" s="215"/>
      <c r="E166" s="215"/>
      <c r="F166" s="215"/>
      <c r="G166" s="215"/>
      <c r="N166" s="254"/>
      <c r="O166" s="255"/>
      <c r="P166" s="243"/>
    </row>
    <row r="167" spans="1:20" ht="25.3" x14ac:dyDescent="0.45">
      <c r="B167" s="161" t="s">
        <v>232</v>
      </c>
      <c r="C167" s="431" t="s">
        <v>233</v>
      </c>
      <c r="D167" s="162"/>
      <c r="E167" s="162"/>
      <c r="F167" s="162"/>
      <c r="G167" s="301"/>
      <c r="K167" s="256"/>
      <c r="L167" s="256"/>
      <c r="N167" s="254"/>
      <c r="O167" s="255"/>
      <c r="P167" s="243"/>
    </row>
    <row r="168" spans="1:20" ht="46.5" hidden="1" customHeight="1" x14ac:dyDescent="0.45">
      <c r="A168" s="142" t="s">
        <v>42</v>
      </c>
      <c r="B168" s="191" t="s">
        <v>234</v>
      </c>
      <c r="C168" s="194" t="s">
        <v>235</v>
      </c>
      <c r="D168" s="173" t="s">
        <v>15</v>
      </c>
      <c r="E168" s="174">
        <v>0</v>
      </c>
      <c r="F168" s="188">
        <v>300</v>
      </c>
      <c r="G168" s="169">
        <f t="shared" ref="G168:G180" si="48">F168*E168</f>
        <v>0</v>
      </c>
      <c r="H168" s="218" t="s">
        <v>236</v>
      </c>
      <c r="K168" s="244">
        <f t="shared" ref="K168:K180" si="49">F168*$J$26</f>
        <v>195</v>
      </c>
      <c r="L168" s="248">
        <f t="shared" ref="L168:L180" si="50">E168*K168</f>
        <v>0</v>
      </c>
      <c r="N168" s="264">
        <f t="shared" ref="N168:N180" si="51">G168*0.05</f>
        <v>0</v>
      </c>
      <c r="O168" s="246">
        <f t="shared" ref="O168:O180" si="52">G168-L168-N168</f>
        <v>0</v>
      </c>
      <c r="P168" s="265" t="e">
        <f t="shared" ref="P168:P181" si="53">O168/G168</f>
        <v>#DIV/0!</v>
      </c>
    </row>
    <row r="169" spans="1:20" ht="43.5" hidden="1" customHeight="1" x14ac:dyDescent="0.45">
      <c r="A169" s="142" t="s">
        <v>42</v>
      </c>
      <c r="B169" s="191" t="s">
        <v>237</v>
      </c>
      <c r="C169" s="194" t="s">
        <v>238</v>
      </c>
      <c r="D169" s="173" t="s">
        <v>15</v>
      </c>
      <c r="E169" s="174">
        <v>0</v>
      </c>
      <c r="F169" s="188">
        <v>50</v>
      </c>
      <c r="G169" s="169">
        <f t="shared" si="48"/>
        <v>0</v>
      </c>
      <c r="K169" s="244">
        <f t="shared" si="49"/>
        <v>32.5</v>
      </c>
      <c r="L169" s="248">
        <f t="shared" si="50"/>
        <v>0</v>
      </c>
      <c r="N169" s="264">
        <f t="shared" si="51"/>
        <v>0</v>
      </c>
      <c r="O169" s="246">
        <f t="shared" si="52"/>
        <v>0</v>
      </c>
      <c r="P169" s="265" t="e">
        <f t="shared" si="53"/>
        <v>#DIV/0!</v>
      </c>
    </row>
    <row r="170" spans="1:20" ht="47.25" customHeight="1" x14ac:dyDescent="0.45">
      <c r="A170" s="142" t="s">
        <v>42</v>
      </c>
      <c r="B170" s="191" t="s">
        <v>239</v>
      </c>
      <c r="C170" s="172" t="s">
        <v>485</v>
      </c>
      <c r="D170" s="173" t="s">
        <v>15</v>
      </c>
      <c r="E170" s="174">
        <v>1</v>
      </c>
      <c r="F170" s="188">
        <v>3800</v>
      </c>
      <c r="G170" s="169">
        <f t="shared" si="48"/>
        <v>3800</v>
      </c>
      <c r="K170" s="244">
        <f t="shared" si="49"/>
        <v>2470</v>
      </c>
      <c r="L170" s="248">
        <f t="shared" si="50"/>
        <v>2470</v>
      </c>
      <c r="N170" s="264">
        <f t="shared" si="51"/>
        <v>190</v>
      </c>
      <c r="O170" s="246">
        <f t="shared" si="52"/>
        <v>1140</v>
      </c>
      <c r="P170" s="265">
        <f t="shared" si="53"/>
        <v>0.3</v>
      </c>
    </row>
    <row r="171" spans="1:20" ht="29.25" customHeight="1" thickBot="1" x14ac:dyDescent="0.5">
      <c r="A171" s="142" t="s">
        <v>42</v>
      </c>
      <c r="B171" s="191" t="s">
        <v>240</v>
      </c>
      <c r="C171" s="194" t="s">
        <v>504</v>
      </c>
      <c r="D171" s="173" t="s">
        <v>15</v>
      </c>
      <c r="E171" s="174">
        <v>0</v>
      </c>
      <c r="F171" s="188">
        <v>0</v>
      </c>
      <c r="G171" s="169">
        <f t="shared" si="48"/>
        <v>0</v>
      </c>
      <c r="K171" s="244">
        <f t="shared" si="49"/>
        <v>0</v>
      </c>
      <c r="L171" s="248">
        <f t="shared" si="50"/>
        <v>0</v>
      </c>
      <c r="N171" s="264">
        <f t="shared" si="51"/>
        <v>0</v>
      </c>
      <c r="O171" s="246">
        <f t="shared" si="52"/>
        <v>0</v>
      </c>
      <c r="P171" s="265" t="e">
        <f t="shared" si="53"/>
        <v>#DIV/0!</v>
      </c>
    </row>
    <row r="172" spans="1:20" ht="29.15" hidden="1" customHeight="1" x14ac:dyDescent="0.45">
      <c r="A172" s="142" t="s">
        <v>42</v>
      </c>
      <c r="B172" s="191" t="s">
        <v>241</v>
      </c>
      <c r="C172" s="230" t="s">
        <v>242</v>
      </c>
      <c r="D172" s="173" t="s">
        <v>15</v>
      </c>
      <c r="E172" s="174">
        <v>0</v>
      </c>
      <c r="F172" s="188">
        <v>180</v>
      </c>
      <c r="G172" s="169">
        <f t="shared" si="48"/>
        <v>0</v>
      </c>
      <c r="H172" s="218" t="s">
        <v>243</v>
      </c>
      <c r="K172" s="244">
        <f t="shared" si="49"/>
        <v>117</v>
      </c>
      <c r="L172" s="248">
        <f t="shared" si="50"/>
        <v>0</v>
      </c>
      <c r="N172" s="264">
        <f t="shared" si="51"/>
        <v>0</v>
      </c>
      <c r="O172" s="246">
        <f t="shared" si="52"/>
        <v>0</v>
      </c>
      <c r="P172" s="265" t="e">
        <f t="shared" si="53"/>
        <v>#DIV/0!</v>
      </c>
    </row>
    <row r="173" spans="1:20" ht="28.3" hidden="1" x14ac:dyDescent="0.45">
      <c r="A173" s="142" t="s">
        <v>28</v>
      </c>
      <c r="B173" s="191" t="s">
        <v>244</v>
      </c>
      <c r="C173" s="194" t="s">
        <v>245</v>
      </c>
      <c r="D173" s="173" t="s">
        <v>15</v>
      </c>
      <c r="E173" s="174">
        <v>0</v>
      </c>
      <c r="F173" s="188">
        <v>280</v>
      </c>
      <c r="G173" s="169">
        <f t="shared" si="48"/>
        <v>0</v>
      </c>
      <c r="K173" s="244">
        <f t="shared" si="49"/>
        <v>182</v>
      </c>
      <c r="L173" s="248">
        <f t="shared" si="50"/>
        <v>0</v>
      </c>
      <c r="N173" s="264">
        <f t="shared" si="51"/>
        <v>0</v>
      </c>
      <c r="O173" s="246">
        <f t="shared" si="52"/>
        <v>0</v>
      </c>
      <c r="P173" s="265" t="e">
        <f t="shared" si="53"/>
        <v>#DIV/0!</v>
      </c>
    </row>
    <row r="174" spans="1:20" ht="28.3" hidden="1" x14ac:dyDescent="0.45">
      <c r="A174" s="142" t="s">
        <v>42</v>
      </c>
      <c r="B174" s="191" t="s">
        <v>246</v>
      </c>
      <c r="C174" s="230" t="s">
        <v>247</v>
      </c>
      <c r="D174" s="173" t="s">
        <v>15</v>
      </c>
      <c r="E174" s="174">
        <v>0</v>
      </c>
      <c r="F174" s="188">
        <v>100</v>
      </c>
      <c r="G174" s="169">
        <f t="shared" si="48"/>
        <v>0</v>
      </c>
      <c r="H174" s="218" t="s">
        <v>248</v>
      </c>
      <c r="K174" s="244">
        <f t="shared" si="49"/>
        <v>65</v>
      </c>
      <c r="L174" s="248">
        <f t="shared" si="50"/>
        <v>0</v>
      </c>
      <c r="N174" s="264">
        <f t="shared" si="51"/>
        <v>0</v>
      </c>
      <c r="O174" s="246">
        <f t="shared" si="52"/>
        <v>0</v>
      </c>
      <c r="P174" s="265" t="e">
        <f t="shared" si="53"/>
        <v>#DIV/0!</v>
      </c>
    </row>
    <row r="175" spans="1:20" ht="30.65" hidden="1" customHeight="1" x14ac:dyDescent="0.45">
      <c r="A175" s="142" t="s">
        <v>42</v>
      </c>
      <c r="B175" s="191" t="s">
        <v>249</v>
      </c>
      <c r="C175" s="230" t="s">
        <v>250</v>
      </c>
      <c r="D175" s="173" t="s">
        <v>15</v>
      </c>
      <c r="E175" s="174">
        <v>0</v>
      </c>
      <c r="F175" s="188">
        <v>100</v>
      </c>
      <c r="G175" s="169">
        <f t="shared" si="48"/>
        <v>0</v>
      </c>
      <c r="H175" s="218" t="s">
        <v>251</v>
      </c>
      <c r="K175" s="244">
        <f t="shared" si="49"/>
        <v>65</v>
      </c>
      <c r="L175" s="248">
        <f t="shared" si="50"/>
        <v>0</v>
      </c>
      <c r="N175" s="264">
        <f t="shared" si="51"/>
        <v>0</v>
      </c>
      <c r="O175" s="246">
        <f t="shared" si="52"/>
        <v>0</v>
      </c>
      <c r="P175" s="265" t="e">
        <f t="shared" si="53"/>
        <v>#DIV/0!</v>
      </c>
    </row>
    <row r="176" spans="1:20" ht="33.75" hidden="1" customHeight="1" x14ac:dyDescent="0.45">
      <c r="A176" s="142" t="s">
        <v>28</v>
      </c>
      <c r="B176" s="191" t="s">
        <v>252</v>
      </c>
      <c r="C176" s="194" t="s">
        <v>253</v>
      </c>
      <c r="D176" s="173" t="s">
        <v>15</v>
      </c>
      <c r="E176" s="174">
        <v>0</v>
      </c>
      <c r="F176" s="188">
        <v>15</v>
      </c>
      <c r="G176" s="169">
        <f t="shared" si="48"/>
        <v>0</v>
      </c>
      <c r="H176" s="218" t="s">
        <v>254</v>
      </c>
      <c r="K176" s="244">
        <f t="shared" si="49"/>
        <v>9.75</v>
      </c>
      <c r="L176" s="248">
        <f t="shared" si="50"/>
        <v>0</v>
      </c>
      <c r="N176" s="264">
        <f t="shared" si="51"/>
        <v>0</v>
      </c>
      <c r="O176" s="246">
        <f t="shared" si="52"/>
        <v>0</v>
      </c>
      <c r="P176" s="265" t="e">
        <f t="shared" si="53"/>
        <v>#DIV/0!</v>
      </c>
    </row>
    <row r="177" spans="1:16" ht="30" hidden="1" customHeight="1" x14ac:dyDescent="0.45">
      <c r="A177" s="142" t="s">
        <v>28</v>
      </c>
      <c r="B177" s="191" t="s">
        <v>255</v>
      </c>
      <c r="C177" s="194" t="s">
        <v>256</v>
      </c>
      <c r="D177" s="173" t="s">
        <v>15</v>
      </c>
      <c r="E177" s="174">
        <v>0</v>
      </c>
      <c r="F177" s="188">
        <v>82</v>
      </c>
      <c r="G177" s="366">
        <f t="shared" si="48"/>
        <v>0</v>
      </c>
      <c r="H177" s="218" t="s">
        <v>257</v>
      </c>
      <c r="K177" s="244">
        <f t="shared" si="49"/>
        <v>53.300000000000004</v>
      </c>
      <c r="L177" s="248">
        <f t="shared" si="50"/>
        <v>0</v>
      </c>
      <c r="N177" s="264">
        <f t="shared" si="51"/>
        <v>0</v>
      </c>
      <c r="O177" s="246">
        <f t="shared" si="52"/>
        <v>0</v>
      </c>
      <c r="P177" s="265" t="e">
        <f t="shared" si="53"/>
        <v>#DIV/0!</v>
      </c>
    </row>
    <row r="178" spans="1:16" ht="30.9" hidden="1" x14ac:dyDescent="0.45">
      <c r="A178" s="142" t="s">
        <v>28</v>
      </c>
      <c r="B178" s="191" t="s">
        <v>258</v>
      </c>
      <c r="C178" s="172" t="s">
        <v>259</v>
      </c>
      <c r="D178" s="173" t="s">
        <v>15</v>
      </c>
      <c r="E178" s="174">
        <v>0</v>
      </c>
      <c r="F178" s="188">
        <v>20</v>
      </c>
      <c r="G178" s="169">
        <f t="shared" si="48"/>
        <v>0</v>
      </c>
      <c r="H178" s="218" t="s">
        <v>260</v>
      </c>
      <c r="K178" s="244">
        <f t="shared" si="49"/>
        <v>13</v>
      </c>
      <c r="L178" s="248">
        <f t="shared" si="50"/>
        <v>0</v>
      </c>
      <c r="N178" s="264">
        <f t="shared" si="51"/>
        <v>0</v>
      </c>
      <c r="O178" s="246">
        <f t="shared" si="52"/>
        <v>0</v>
      </c>
      <c r="P178" s="265" t="e">
        <f t="shared" si="53"/>
        <v>#DIV/0!</v>
      </c>
    </row>
    <row r="179" spans="1:16" ht="45" hidden="1" customHeight="1" x14ac:dyDescent="0.45">
      <c r="A179" s="142" t="s">
        <v>25</v>
      </c>
      <c r="B179" s="191" t="s">
        <v>261</v>
      </c>
      <c r="C179" s="172" t="s">
        <v>262</v>
      </c>
      <c r="D179" s="173" t="s">
        <v>15</v>
      </c>
      <c r="E179" s="174">
        <v>0</v>
      </c>
      <c r="F179" s="188">
        <v>300</v>
      </c>
      <c r="G179" s="169">
        <f t="shared" si="48"/>
        <v>0</v>
      </c>
      <c r="K179" s="244">
        <f t="shared" si="49"/>
        <v>195</v>
      </c>
      <c r="L179" s="248">
        <f t="shared" si="50"/>
        <v>0</v>
      </c>
      <c r="N179" s="264">
        <f t="shared" si="51"/>
        <v>0</v>
      </c>
      <c r="O179" s="246">
        <f t="shared" si="52"/>
        <v>0</v>
      </c>
      <c r="P179" s="265" t="e">
        <f t="shared" si="53"/>
        <v>#DIV/0!</v>
      </c>
    </row>
    <row r="180" spans="1:16" ht="48" hidden="1" customHeight="1" thickBot="1" x14ac:dyDescent="0.5">
      <c r="A180" s="142" t="s">
        <v>28</v>
      </c>
      <c r="B180" s="191" t="s">
        <v>263</v>
      </c>
      <c r="C180" s="172" t="s">
        <v>264</v>
      </c>
      <c r="D180" s="173" t="s">
        <v>15</v>
      </c>
      <c r="E180" s="174">
        <v>0</v>
      </c>
      <c r="F180" s="188">
        <v>225</v>
      </c>
      <c r="G180" s="169">
        <f t="shared" si="48"/>
        <v>0</v>
      </c>
      <c r="H180" s="218" t="s">
        <v>265</v>
      </c>
      <c r="K180" s="244">
        <f t="shared" si="49"/>
        <v>146.25</v>
      </c>
      <c r="L180" s="248">
        <f t="shared" si="50"/>
        <v>0</v>
      </c>
      <c r="N180" s="264">
        <f t="shared" si="51"/>
        <v>0</v>
      </c>
      <c r="O180" s="246">
        <f t="shared" si="52"/>
        <v>0</v>
      </c>
      <c r="P180" s="265" t="e">
        <f t="shared" si="53"/>
        <v>#DIV/0!</v>
      </c>
    </row>
    <row r="181" spans="1:16" ht="18" thickBot="1" x14ac:dyDescent="0.5">
      <c r="B181" s="182" t="s">
        <v>232</v>
      </c>
      <c r="C181" s="432" t="s">
        <v>266</v>
      </c>
      <c r="D181" s="183"/>
      <c r="E181" s="303"/>
      <c r="F181" s="184"/>
      <c r="G181" s="304">
        <f>SUM(G168:G180)</f>
        <v>3800</v>
      </c>
      <c r="K181" s="309"/>
      <c r="L181" s="309">
        <f>SUM(L168:L180)</f>
        <v>2470</v>
      </c>
      <c r="N181" s="252">
        <f>SUM(N168:N180)</f>
        <v>190</v>
      </c>
      <c r="O181" s="252">
        <f>SUM(O168:O180)</f>
        <v>1140</v>
      </c>
      <c r="P181" s="258">
        <f t="shared" si="53"/>
        <v>0.3</v>
      </c>
    </row>
    <row r="182" spans="1:16" ht="15.75" customHeight="1" x14ac:dyDescent="0.45">
      <c r="B182" s="214"/>
      <c r="C182" s="437"/>
      <c r="D182" s="215"/>
      <c r="E182" s="215"/>
      <c r="F182" s="215"/>
      <c r="G182" s="215"/>
      <c r="N182" s="254"/>
      <c r="O182" s="255"/>
      <c r="P182" s="243"/>
    </row>
    <row r="183" spans="1:16" ht="25.3" x14ac:dyDescent="0.45">
      <c r="B183" s="161" t="s">
        <v>267</v>
      </c>
      <c r="C183" s="431" t="s">
        <v>268</v>
      </c>
      <c r="D183" s="162"/>
      <c r="E183" s="162"/>
      <c r="F183" s="162"/>
      <c r="G183" s="301"/>
      <c r="K183" s="256"/>
      <c r="L183" s="256"/>
      <c r="N183" s="254"/>
      <c r="O183" s="255"/>
      <c r="P183" s="243"/>
    </row>
    <row r="184" spans="1:16" ht="20.6" hidden="1" x14ac:dyDescent="0.45">
      <c r="A184" s="142" t="s">
        <v>25</v>
      </c>
      <c r="B184" s="231" t="s">
        <v>269</v>
      </c>
      <c r="C184" s="194" t="s">
        <v>270</v>
      </c>
      <c r="D184" s="173" t="s">
        <v>63</v>
      </c>
      <c r="E184" s="174">
        <v>0</v>
      </c>
      <c r="F184" s="188">
        <v>10</v>
      </c>
      <c r="G184" s="169">
        <f t="shared" ref="G184:G189" si="54">F184*E184</f>
        <v>0</v>
      </c>
      <c r="H184" s="218" t="s">
        <v>271</v>
      </c>
      <c r="K184" s="244">
        <f t="shared" ref="K184:K189" si="55">F184*$J$26</f>
        <v>6.5</v>
      </c>
      <c r="L184" s="248">
        <f t="shared" ref="L184:L189" si="56">E184*K184</f>
        <v>0</v>
      </c>
      <c r="N184" s="264">
        <f t="shared" ref="N184:N189" si="57">G184*0.05</f>
        <v>0</v>
      </c>
      <c r="O184" s="246">
        <f t="shared" ref="O184:O189" si="58">G184-L184-N184</f>
        <v>0</v>
      </c>
      <c r="P184" s="265" t="e">
        <f t="shared" ref="P184:P190" si="59">O184/G184</f>
        <v>#DIV/0!</v>
      </c>
    </row>
    <row r="185" spans="1:16" ht="42.45" x14ac:dyDescent="0.45">
      <c r="A185" s="142" t="s">
        <v>25</v>
      </c>
      <c r="B185" s="231" t="s">
        <v>272</v>
      </c>
      <c r="C185" s="194" t="s">
        <v>506</v>
      </c>
      <c r="D185" s="173" t="s">
        <v>63</v>
      </c>
      <c r="E185" s="174">
        <v>100</v>
      </c>
      <c r="F185" s="188">
        <v>20</v>
      </c>
      <c r="G185" s="169">
        <f t="shared" si="54"/>
        <v>2000</v>
      </c>
      <c r="H185" s="218" t="s">
        <v>273</v>
      </c>
      <c r="K185" s="244">
        <f t="shared" si="55"/>
        <v>13</v>
      </c>
      <c r="L185" s="248">
        <f t="shared" si="56"/>
        <v>1300</v>
      </c>
      <c r="N185" s="264">
        <f t="shared" si="57"/>
        <v>100</v>
      </c>
      <c r="O185" s="246">
        <f t="shared" si="58"/>
        <v>600</v>
      </c>
      <c r="P185" s="265">
        <f t="shared" si="59"/>
        <v>0.3</v>
      </c>
    </row>
    <row r="186" spans="1:16" ht="36" customHeight="1" x14ac:dyDescent="0.45">
      <c r="A186" s="142" t="s">
        <v>25</v>
      </c>
      <c r="B186" s="231" t="s">
        <v>274</v>
      </c>
      <c r="C186" s="172" t="s">
        <v>480</v>
      </c>
      <c r="D186" s="173" t="s">
        <v>63</v>
      </c>
      <c r="E186" s="174">
        <v>500</v>
      </c>
      <c r="F186" s="188">
        <v>6.5</v>
      </c>
      <c r="G186" s="169">
        <f t="shared" si="54"/>
        <v>3250</v>
      </c>
      <c r="K186" s="244">
        <f t="shared" si="55"/>
        <v>4.2250000000000005</v>
      </c>
      <c r="L186" s="248">
        <f t="shared" si="56"/>
        <v>2112.5000000000005</v>
      </c>
      <c r="N186" s="264">
        <f t="shared" si="57"/>
        <v>162.5</v>
      </c>
      <c r="O186" s="246">
        <f t="shared" si="58"/>
        <v>974.99999999999955</v>
      </c>
      <c r="P186" s="265">
        <f t="shared" si="59"/>
        <v>0.29999999999999988</v>
      </c>
    </row>
    <row r="187" spans="1:16" ht="15.75" hidden="1" customHeight="1" x14ac:dyDescent="0.45">
      <c r="A187" s="142" t="s">
        <v>25</v>
      </c>
      <c r="B187" s="231" t="s">
        <v>275</v>
      </c>
      <c r="C187" s="172" t="s">
        <v>276</v>
      </c>
      <c r="D187" s="173" t="s">
        <v>63</v>
      </c>
      <c r="E187" s="174">
        <v>0</v>
      </c>
      <c r="F187" s="188">
        <v>10</v>
      </c>
      <c r="G187" s="169">
        <f t="shared" si="54"/>
        <v>0</v>
      </c>
      <c r="K187" s="244">
        <f t="shared" si="55"/>
        <v>6.5</v>
      </c>
      <c r="L187" s="248">
        <f t="shared" si="56"/>
        <v>0</v>
      </c>
      <c r="N187" s="264">
        <f t="shared" si="57"/>
        <v>0</v>
      </c>
      <c r="O187" s="246">
        <f t="shared" si="58"/>
        <v>0</v>
      </c>
      <c r="P187" s="265" t="e">
        <f t="shared" si="59"/>
        <v>#DIV/0!</v>
      </c>
    </row>
    <row r="188" spans="1:16" ht="48" hidden="1" customHeight="1" x14ac:dyDescent="0.45">
      <c r="A188" s="142" t="s">
        <v>25</v>
      </c>
      <c r="B188" s="231" t="s">
        <v>277</v>
      </c>
      <c r="C188" s="172" t="s">
        <v>278</v>
      </c>
      <c r="D188" s="173" t="s">
        <v>63</v>
      </c>
      <c r="E188" s="174">
        <v>0</v>
      </c>
      <c r="F188" s="188">
        <v>15</v>
      </c>
      <c r="G188" s="169">
        <f t="shared" si="54"/>
        <v>0</v>
      </c>
      <c r="K188" s="244">
        <f t="shared" si="55"/>
        <v>9.75</v>
      </c>
      <c r="L188" s="248">
        <f t="shared" si="56"/>
        <v>0</v>
      </c>
      <c r="N188" s="264">
        <f t="shared" si="57"/>
        <v>0</v>
      </c>
      <c r="O188" s="246">
        <f t="shared" si="58"/>
        <v>0</v>
      </c>
      <c r="P188" s="265" t="e">
        <f t="shared" si="59"/>
        <v>#DIV/0!</v>
      </c>
    </row>
    <row r="189" spans="1:16" ht="32.25" customHeight="1" thickBot="1" x14ac:dyDescent="0.5">
      <c r="A189" s="142" t="s">
        <v>25</v>
      </c>
      <c r="B189" s="231" t="s">
        <v>279</v>
      </c>
      <c r="C189" s="172" t="s">
        <v>467</v>
      </c>
      <c r="D189" s="173" t="s">
        <v>63</v>
      </c>
      <c r="E189" s="174">
        <v>400</v>
      </c>
      <c r="F189" s="188">
        <v>5</v>
      </c>
      <c r="G189" s="169">
        <f t="shared" si="54"/>
        <v>2000</v>
      </c>
      <c r="K189" s="244">
        <f t="shared" si="55"/>
        <v>3.25</v>
      </c>
      <c r="L189" s="248">
        <f t="shared" si="56"/>
        <v>1300</v>
      </c>
      <c r="N189" s="264">
        <f t="shared" si="57"/>
        <v>100</v>
      </c>
      <c r="O189" s="246">
        <f t="shared" si="58"/>
        <v>600</v>
      </c>
      <c r="P189" s="265">
        <f t="shared" si="59"/>
        <v>0.3</v>
      </c>
    </row>
    <row r="190" spans="1:16" ht="18" thickBot="1" x14ac:dyDescent="0.5">
      <c r="B190" s="182" t="s">
        <v>267</v>
      </c>
      <c r="C190" s="432" t="s">
        <v>280</v>
      </c>
      <c r="D190" s="183"/>
      <c r="E190" s="303"/>
      <c r="F190" s="184"/>
      <c r="G190" s="304">
        <f>SUM(G184:G189)</f>
        <v>7250</v>
      </c>
      <c r="K190" s="309"/>
      <c r="L190" s="309">
        <f>SUM(L184:L189)</f>
        <v>4712.5</v>
      </c>
      <c r="N190" s="252">
        <f>SUM(N184:N189)</f>
        <v>362.5</v>
      </c>
      <c r="O190" s="252">
        <f>SUM(O184:O189)</f>
        <v>2174.9999999999995</v>
      </c>
      <c r="P190" s="258">
        <f t="shared" si="59"/>
        <v>0.29999999999999993</v>
      </c>
    </row>
    <row r="191" spans="1:16" ht="15.75" customHeight="1" x14ac:dyDescent="0.45">
      <c r="B191" s="232"/>
      <c r="C191" s="440"/>
      <c r="D191" s="233"/>
      <c r="E191" s="233"/>
      <c r="F191" s="144"/>
      <c r="G191" s="234"/>
      <c r="K191" s="266"/>
      <c r="L191" s="266"/>
      <c r="N191" s="264"/>
      <c r="O191" s="246"/>
      <c r="P191" s="265"/>
    </row>
    <row r="192" spans="1:16" ht="25.3" x14ac:dyDescent="0.45">
      <c r="B192" s="161" t="s">
        <v>281</v>
      </c>
      <c r="C192" s="431" t="s">
        <v>282</v>
      </c>
      <c r="D192" s="162"/>
      <c r="E192" s="162"/>
      <c r="F192" s="162"/>
      <c r="G192" s="301"/>
      <c r="K192" s="256"/>
      <c r="L192" s="256"/>
      <c r="N192" s="264"/>
      <c r="O192" s="246"/>
      <c r="P192" s="265"/>
    </row>
    <row r="193" spans="1:28" ht="15.75" customHeight="1" x14ac:dyDescent="0.45">
      <c r="A193" s="142" t="s">
        <v>25</v>
      </c>
      <c r="B193" s="231" t="s">
        <v>440</v>
      </c>
      <c r="C193" s="194" t="s">
        <v>283</v>
      </c>
      <c r="D193" s="173" t="s">
        <v>27</v>
      </c>
      <c r="E193" s="174">
        <v>1</v>
      </c>
      <c r="F193" s="188">
        <v>2000</v>
      </c>
      <c r="G193" s="169">
        <f>F193*E193</f>
        <v>2000</v>
      </c>
      <c r="H193" s="457"/>
      <c r="K193" s="244">
        <f>F193*$J$26</f>
        <v>1300</v>
      </c>
      <c r="L193" s="248">
        <f>E193*K193</f>
        <v>1300</v>
      </c>
      <c r="N193" s="264">
        <f>G193*0.05</f>
        <v>100</v>
      </c>
      <c r="O193" s="246">
        <f>G193-L193-N193</f>
        <v>600</v>
      </c>
      <c r="P193" s="265">
        <f>O193/G193</f>
        <v>0.3</v>
      </c>
    </row>
    <row r="194" spans="1:28" customFormat="1" ht="15.75" customHeight="1" thickBot="1" x14ac:dyDescent="0.5">
      <c r="A194" s="142"/>
      <c r="B194" s="319"/>
      <c r="C194" s="434"/>
      <c r="D194" s="320"/>
      <c r="E194" s="321"/>
      <c r="F194" s="322"/>
      <c r="G194" s="323"/>
      <c r="W194" s="376"/>
      <c r="X194" s="376"/>
      <c r="Z194" s="377"/>
      <c r="AA194" s="378"/>
      <c r="AB194" s="379"/>
    </row>
    <row r="195" spans="1:28" s="384" customFormat="1" ht="54.65" customHeight="1" thickBot="1" x14ac:dyDescent="0.5">
      <c r="A195" s="163"/>
      <c r="B195" s="380"/>
      <c r="C195" s="441" t="s">
        <v>441</v>
      </c>
      <c r="D195" s="381"/>
      <c r="E195" s="381"/>
      <c r="F195" s="382"/>
      <c r="G195" s="383">
        <f>SUM(G193+G190+G181+G165+G156+G122+G117+G103+G96+G91+G72+G49+G80)</f>
        <v>83840</v>
      </c>
      <c r="W195" s="385"/>
      <c r="X195" s="386">
        <f>SUM(X41+X67+X74+X86+X92+X98+X113+X118+X127+X131+X139+X150+X154+X165+X181+X190+X193)</f>
        <v>0</v>
      </c>
      <c r="Y195" s="387" t="str">
        <f>D202</f>
        <v>120</v>
      </c>
      <c r="Z195" s="388">
        <f>SUM(Z41+Z65+Z73+Z85+Z91+Z98+Z113+Z118+Z155+Z165+Z181+Z190+Z193)</f>
        <v>0</v>
      </c>
      <c r="AA195" s="389">
        <f>SUM(AA190+AA181+AA165+AA155+AA113+AA98+AA91+AA85+AA73+AA65+AA41)</f>
        <v>0</v>
      </c>
      <c r="AB195" s="390" t="e">
        <f>AA195/X195</f>
        <v>#DIV/0!</v>
      </c>
    </row>
    <row r="196" spans="1:28" s="384" customFormat="1" ht="15.75" customHeight="1" thickBot="1" x14ac:dyDescent="0.5">
      <c r="A196" s="163"/>
      <c r="B196" s="391"/>
      <c r="C196" s="442" t="s">
        <v>442</v>
      </c>
      <c r="D196" s="392"/>
      <c r="E196" s="392"/>
      <c r="F196" s="393"/>
      <c r="G196" s="394">
        <f>G195*1.1</f>
        <v>92224.000000000015</v>
      </c>
      <c r="V196"/>
      <c r="W196"/>
      <c r="X196"/>
    </row>
    <row r="197" spans="1:28" customFormat="1" ht="15" hidden="1" customHeight="1" thickBot="1" x14ac:dyDescent="0.5">
      <c r="A197" s="142"/>
      <c r="B197" s="395"/>
      <c r="C197" s="443" t="s">
        <v>443</v>
      </c>
      <c r="D197" s="396"/>
      <c r="E197" s="396"/>
      <c r="F197" s="397"/>
      <c r="G197" s="398">
        <v>0</v>
      </c>
      <c r="Y197" s="399"/>
      <c r="Z197" s="400"/>
      <c r="AA197" s="401"/>
      <c r="AB197" s="402"/>
    </row>
    <row r="198" spans="1:28" s="408" customFormat="1" ht="54.65" hidden="1" customHeight="1" thickBot="1" x14ac:dyDescent="0.55000000000000004">
      <c r="A198" s="403"/>
      <c r="B198" s="404"/>
      <c r="C198" s="444" t="s">
        <v>444</v>
      </c>
      <c r="D198" s="405"/>
      <c r="E198" s="405"/>
      <c r="F198" s="406"/>
      <c r="G198" s="407">
        <f>SUM(G195+G192+G183+G167+G157+G120+G115+G100+G93+G87+G67+G43+G75-G197)</f>
        <v>93890</v>
      </c>
      <c r="W198" s="409"/>
      <c r="X198" s="410">
        <f>SUM(X43+X69+X76+X88+X94+X100+X115+X120+X129+X133+X141+X152+X156+X167+X183+X192+X195)</f>
        <v>0</v>
      </c>
      <c r="Y198" s="411" t="e">
        <f>#REF!</f>
        <v>#REF!</v>
      </c>
      <c r="Z198" s="412">
        <f>SUM(Z43+Z67+Z75+Z87+Z93+Z100+Z115+Z120+Z157+Z167+Z183+Z192+Z195)</f>
        <v>0</v>
      </c>
      <c r="AA198" s="413">
        <f>SUM(AA192+AA183+AA167+AA157+AA115+AA100+AA93+AA87+AA75+AA67+AA43)</f>
        <v>0</v>
      </c>
      <c r="AB198" s="414" t="e">
        <f>AA198/X198</f>
        <v>#DIV/0!</v>
      </c>
    </row>
    <row r="199" spans="1:28" s="384" customFormat="1" ht="15.75" hidden="1" customHeight="1" thickBot="1" x14ac:dyDescent="0.5">
      <c r="A199" s="163"/>
      <c r="B199" s="391"/>
      <c r="C199" s="442" t="s">
        <v>442</v>
      </c>
      <c r="D199" s="392"/>
      <c r="E199" s="392"/>
      <c r="F199" s="393"/>
      <c r="G199" s="394">
        <f>G198*1.1</f>
        <v>103279.00000000001</v>
      </c>
      <c r="V199"/>
      <c r="W199"/>
      <c r="X199"/>
    </row>
    <row r="200" spans="1:28" customFormat="1" ht="15.75" customHeight="1" x14ac:dyDescent="0.45">
      <c r="A200" s="142"/>
      <c r="B200" s="415"/>
      <c r="C200" s="481"/>
      <c r="D200" s="482"/>
      <c r="E200" s="482"/>
      <c r="F200" s="482"/>
      <c r="G200" s="482"/>
      <c r="H200" s="57"/>
      <c r="I200" s="2"/>
      <c r="J200" s="3"/>
      <c r="K200" s="58"/>
    </row>
    <row r="201" spans="1:28" customFormat="1" ht="15.75" customHeight="1" x14ac:dyDescent="0.45">
      <c r="A201" s="142"/>
      <c r="B201" s="3"/>
      <c r="C201" s="445"/>
      <c r="D201" s="3"/>
      <c r="E201" s="3"/>
      <c r="F201" s="3"/>
      <c r="G201" s="3"/>
    </row>
    <row r="202" spans="1:28" customFormat="1" ht="33.65" customHeight="1" x14ac:dyDescent="0.45">
      <c r="A202" s="142"/>
      <c r="B202" s="452"/>
      <c r="C202" s="456" t="s">
        <v>284</v>
      </c>
      <c r="D202" s="453" t="str">
        <f>IF(G195&gt;150000,"180",IF(G195&gt;140000,"170",IF(G195&gt;130000,"160",IF(G195&gt;120000,"150",IF(G195&gt;100000,"140",IF(G195&gt;90000,"130",IF(G195&gt;80000,"120",
IF(G195&gt;70000,"110",IF(G195&gt;60000,"100",IF(G195&gt;50000,"90",
IF(G195&gt;40000,"80",IF(G195&gt;30000,"75",IF(G195&gt;20000,"45",
IF(G195&gt;10000,"35",IF(G195&gt;0,"15","")))))))))))))))</f>
        <v>120</v>
      </c>
      <c r="E202" s="454"/>
      <c r="F202" s="454" t="s">
        <v>468</v>
      </c>
      <c r="G202" s="455"/>
    </row>
    <row r="203" spans="1:28" customFormat="1" ht="29.15" customHeight="1" x14ac:dyDescent="0.45">
      <c r="A203" s="142"/>
      <c r="B203" s="3"/>
      <c r="C203" s="483"/>
      <c r="D203" s="466"/>
      <c r="E203" s="466"/>
      <c r="F203" s="466"/>
      <c r="G203" s="466"/>
    </row>
    <row r="204" spans="1:28" customFormat="1" ht="15" customHeight="1" x14ac:dyDescent="0.45">
      <c r="A204" s="142"/>
      <c r="B204" s="416"/>
      <c r="C204" s="446"/>
      <c r="D204" s="59"/>
      <c r="E204" s="59"/>
      <c r="F204" s="59"/>
      <c r="G204" s="290"/>
    </row>
    <row r="205" spans="1:28" ht="18" customHeight="1" x14ac:dyDescent="0.45">
      <c r="B205" s="319"/>
      <c r="C205" s="434"/>
      <c r="D205" s="320"/>
      <c r="E205" s="321"/>
      <c r="F205" s="322"/>
      <c r="G205" s="323"/>
      <c r="K205" s="324"/>
      <c r="L205" s="324"/>
      <c r="N205" s="254"/>
      <c r="O205" s="246"/>
      <c r="P205" s="265"/>
    </row>
    <row r="206" spans="1:28" ht="15" customHeight="1" x14ac:dyDescent="0.45">
      <c r="B206" s="143"/>
    </row>
    <row r="207" spans="1:28" ht="15" customHeight="1" x14ac:dyDescent="0.45">
      <c r="B207" s="143"/>
    </row>
    <row r="208" spans="1:28" ht="15.75" customHeight="1" x14ac:dyDescent="0.45">
      <c r="B208" s="143"/>
      <c r="C208" s="427"/>
      <c r="D208" s="143"/>
      <c r="E208" s="143"/>
      <c r="F208" s="143"/>
    </row>
    <row r="209" spans="2:6" ht="15.75" customHeight="1" x14ac:dyDescent="0.45">
      <c r="B209" s="143"/>
      <c r="C209" s="427"/>
      <c r="D209" s="143"/>
      <c r="E209" s="143"/>
      <c r="F209" s="143"/>
    </row>
    <row r="210" spans="2:6" ht="15.75" customHeight="1" x14ac:dyDescent="0.45">
      <c r="B210" s="143"/>
      <c r="C210" s="427"/>
      <c r="D210" s="143"/>
      <c r="E210" s="143"/>
      <c r="F210" s="143"/>
    </row>
    <row r="211" spans="2:6" ht="15.75" customHeight="1" x14ac:dyDescent="0.45">
      <c r="B211" s="143"/>
      <c r="C211" s="427"/>
      <c r="D211" s="143"/>
      <c r="E211" s="143"/>
      <c r="F211" s="143"/>
    </row>
    <row r="212" spans="2:6" ht="15.75" customHeight="1" x14ac:dyDescent="0.45">
      <c r="B212" s="143"/>
      <c r="C212" s="427"/>
      <c r="D212" s="143"/>
      <c r="E212" s="143"/>
      <c r="F212" s="143"/>
    </row>
    <row r="213" spans="2:6" ht="15.75" customHeight="1" x14ac:dyDescent="0.45">
      <c r="B213" s="143"/>
      <c r="C213" s="427"/>
      <c r="D213" s="143"/>
      <c r="E213" s="143"/>
      <c r="F213" s="143"/>
    </row>
    <row r="214" spans="2:6" ht="15.75" customHeight="1" x14ac:dyDescent="0.45">
      <c r="B214" s="143"/>
      <c r="C214" s="427"/>
      <c r="D214" s="143"/>
      <c r="E214" s="143"/>
      <c r="F214" s="143"/>
    </row>
    <row r="215" spans="2:6" ht="15.75" customHeight="1" x14ac:dyDescent="0.45">
      <c r="B215" s="143"/>
      <c r="C215" s="427"/>
      <c r="D215" s="143"/>
      <c r="E215" s="143"/>
      <c r="F215" s="143"/>
    </row>
    <row r="216" spans="2:6" ht="15.75" customHeight="1" x14ac:dyDescent="0.45">
      <c r="B216" s="143"/>
      <c r="C216" s="427"/>
      <c r="D216" s="143"/>
      <c r="E216" s="143"/>
      <c r="F216" s="143"/>
    </row>
    <row r="217" spans="2:6" ht="15.75" customHeight="1" x14ac:dyDescent="0.45">
      <c r="B217" s="143"/>
      <c r="C217" s="427"/>
      <c r="D217" s="143"/>
      <c r="E217" s="143"/>
      <c r="F217" s="143"/>
    </row>
    <row r="218" spans="2:6" ht="15.75" customHeight="1" x14ac:dyDescent="0.45">
      <c r="B218" s="143"/>
      <c r="C218" s="427"/>
      <c r="D218" s="143"/>
      <c r="E218" s="143"/>
      <c r="F218" s="143"/>
    </row>
    <row r="219" spans="2:6" ht="15.75" customHeight="1" x14ac:dyDescent="0.45">
      <c r="B219" s="143"/>
      <c r="C219" s="427"/>
      <c r="D219" s="143"/>
      <c r="E219" s="143"/>
      <c r="F219" s="143"/>
    </row>
    <row r="220" spans="2:6" ht="15.75" customHeight="1" x14ac:dyDescent="0.45">
      <c r="B220" s="143"/>
      <c r="C220" s="427"/>
      <c r="D220" s="143"/>
      <c r="E220" s="143"/>
      <c r="F220" s="143"/>
    </row>
    <row r="221" spans="2:6" ht="15.75" customHeight="1" x14ac:dyDescent="0.45">
      <c r="B221" s="143"/>
      <c r="C221" s="427"/>
      <c r="D221" s="143"/>
      <c r="E221" s="143"/>
      <c r="F221" s="143"/>
    </row>
    <row r="222" spans="2:6" ht="15.75" customHeight="1" x14ac:dyDescent="0.45">
      <c r="B222" s="143"/>
      <c r="C222" s="427"/>
      <c r="D222" s="143"/>
      <c r="E222" s="143"/>
      <c r="F222" s="143"/>
    </row>
    <row r="223" spans="2:6" ht="15.75" customHeight="1" x14ac:dyDescent="0.45">
      <c r="B223" s="143"/>
      <c r="C223" s="427"/>
      <c r="D223" s="143"/>
      <c r="E223" s="143"/>
      <c r="F223" s="143"/>
    </row>
    <row r="224" spans="2:6" ht="15.75" customHeight="1" x14ac:dyDescent="0.45">
      <c r="B224" s="143"/>
      <c r="C224" s="427"/>
      <c r="D224" s="143"/>
      <c r="E224" s="143"/>
      <c r="F224" s="143"/>
    </row>
    <row r="225" spans="2:6" ht="15.75" customHeight="1" x14ac:dyDescent="0.45">
      <c r="B225" s="143"/>
      <c r="C225" s="427"/>
      <c r="D225" s="143"/>
      <c r="E225" s="143"/>
      <c r="F225" s="143"/>
    </row>
    <row r="226" spans="2:6" ht="15.75" customHeight="1" x14ac:dyDescent="0.45">
      <c r="B226" s="143"/>
      <c r="C226" s="427"/>
      <c r="D226" s="143"/>
      <c r="E226" s="143"/>
      <c r="F226" s="143"/>
    </row>
    <row r="227" spans="2:6" ht="15.75" customHeight="1" x14ac:dyDescent="0.45">
      <c r="B227" s="143"/>
      <c r="C227" s="427"/>
      <c r="D227" s="143"/>
      <c r="E227" s="143"/>
      <c r="F227" s="143"/>
    </row>
    <row r="228" spans="2:6" ht="15.75" customHeight="1" x14ac:dyDescent="0.45">
      <c r="B228" s="143"/>
      <c r="C228" s="427"/>
      <c r="D228" s="143"/>
      <c r="E228" s="143"/>
      <c r="F228" s="143"/>
    </row>
    <row r="229" spans="2:6" ht="15.75" customHeight="1" x14ac:dyDescent="0.45">
      <c r="B229" s="143"/>
      <c r="C229" s="427"/>
      <c r="D229" s="143"/>
      <c r="E229" s="143"/>
      <c r="F229" s="143"/>
    </row>
    <row r="230" spans="2:6" ht="15.75" customHeight="1" x14ac:dyDescent="0.45">
      <c r="B230" s="143"/>
      <c r="C230" s="427"/>
      <c r="D230" s="143"/>
      <c r="E230" s="143"/>
      <c r="F230" s="143"/>
    </row>
    <row r="231" spans="2:6" ht="15.75" customHeight="1" x14ac:dyDescent="0.45">
      <c r="B231" s="143"/>
      <c r="C231" s="427"/>
      <c r="D231" s="143"/>
      <c r="E231" s="143"/>
      <c r="F231" s="143"/>
    </row>
    <row r="232" spans="2:6" ht="15.75" customHeight="1" x14ac:dyDescent="0.45">
      <c r="B232" s="143"/>
      <c r="C232" s="427"/>
      <c r="D232" s="143"/>
      <c r="E232" s="143"/>
      <c r="F232" s="143"/>
    </row>
    <row r="233" spans="2:6" ht="15.75" customHeight="1" x14ac:dyDescent="0.45">
      <c r="B233" s="143"/>
      <c r="C233" s="427"/>
      <c r="D233" s="143"/>
      <c r="E233" s="143"/>
      <c r="F233" s="143"/>
    </row>
    <row r="234" spans="2:6" ht="15.75" customHeight="1" x14ac:dyDescent="0.45">
      <c r="B234" s="143"/>
      <c r="C234" s="427"/>
      <c r="D234" s="143"/>
      <c r="E234" s="143"/>
      <c r="F234" s="143"/>
    </row>
    <row r="235" spans="2:6" ht="15.75" customHeight="1" x14ac:dyDescent="0.45">
      <c r="B235" s="143"/>
      <c r="C235" s="427"/>
      <c r="D235" s="143"/>
      <c r="E235" s="143"/>
      <c r="F235" s="143"/>
    </row>
    <row r="236" spans="2:6" ht="15.75" customHeight="1" x14ac:dyDescent="0.45">
      <c r="B236" s="143"/>
      <c r="C236" s="427"/>
      <c r="D236" s="143"/>
      <c r="E236" s="143"/>
      <c r="F236" s="143"/>
    </row>
    <row r="237" spans="2:6" ht="15.75" customHeight="1" x14ac:dyDescent="0.45">
      <c r="B237" s="143"/>
      <c r="C237" s="427"/>
      <c r="D237" s="143"/>
      <c r="E237" s="143"/>
      <c r="F237" s="143"/>
    </row>
    <row r="238" spans="2:6" ht="15.75" customHeight="1" x14ac:dyDescent="0.45">
      <c r="B238" s="143"/>
      <c r="C238" s="427"/>
      <c r="D238" s="143"/>
      <c r="E238" s="143"/>
      <c r="F238" s="143"/>
    </row>
    <row r="239" spans="2:6" ht="15.75" customHeight="1" x14ac:dyDescent="0.45">
      <c r="B239" s="143"/>
      <c r="C239" s="427"/>
      <c r="D239" s="143"/>
      <c r="E239" s="143"/>
      <c r="F239" s="143"/>
    </row>
    <row r="240" spans="2:6" ht="15.75" customHeight="1" x14ac:dyDescent="0.45">
      <c r="B240" s="143"/>
      <c r="C240" s="427"/>
      <c r="D240" s="143"/>
      <c r="E240" s="143"/>
      <c r="F240" s="143"/>
    </row>
    <row r="241" spans="2:6" ht="15.75" customHeight="1" x14ac:dyDescent="0.45">
      <c r="B241" s="143"/>
      <c r="C241" s="427"/>
      <c r="D241" s="143"/>
      <c r="E241" s="143"/>
      <c r="F241" s="143"/>
    </row>
    <row r="242" spans="2:6" ht="15.75" customHeight="1" x14ac:dyDescent="0.45">
      <c r="B242" s="143"/>
      <c r="C242" s="427"/>
      <c r="D242" s="143"/>
      <c r="E242" s="143"/>
      <c r="F242" s="143"/>
    </row>
    <row r="243" spans="2:6" ht="15.75" customHeight="1" x14ac:dyDescent="0.45">
      <c r="B243" s="143"/>
      <c r="C243" s="427"/>
      <c r="D243" s="143"/>
      <c r="E243" s="143"/>
      <c r="F243" s="143"/>
    </row>
    <row r="244" spans="2:6" ht="15.75" customHeight="1" x14ac:dyDescent="0.45">
      <c r="B244" s="143"/>
      <c r="C244" s="427"/>
      <c r="D244" s="143"/>
      <c r="E244" s="143"/>
      <c r="F244" s="143"/>
    </row>
    <row r="245" spans="2:6" ht="15.75" customHeight="1" x14ac:dyDescent="0.45">
      <c r="B245" s="143"/>
      <c r="C245" s="427"/>
      <c r="D245" s="143"/>
      <c r="E245" s="143"/>
      <c r="F245" s="143"/>
    </row>
    <row r="246" spans="2:6" ht="15.75" customHeight="1" x14ac:dyDescent="0.45">
      <c r="B246" s="143"/>
      <c r="C246" s="427"/>
      <c r="D246" s="143"/>
      <c r="E246" s="143"/>
      <c r="F246" s="143"/>
    </row>
    <row r="247" spans="2:6" ht="15.75" customHeight="1" x14ac:dyDescent="0.45">
      <c r="B247" s="143"/>
      <c r="C247" s="427"/>
      <c r="D247" s="143"/>
      <c r="E247" s="143"/>
      <c r="F247" s="143"/>
    </row>
    <row r="248" spans="2:6" ht="15.75" customHeight="1" x14ac:dyDescent="0.45">
      <c r="B248" s="143"/>
      <c r="C248" s="427"/>
      <c r="D248" s="143"/>
      <c r="E248" s="143"/>
      <c r="F248" s="143"/>
    </row>
    <row r="249" spans="2:6" ht="15.75" customHeight="1" x14ac:dyDescent="0.45">
      <c r="B249" s="143"/>
      <c r="C249" s="427"/>
      <c r="D249" s="143"/>
      <c r="E249" s="143"/>
      <c r="F249" s="143"/>
    </row>
    <row r="250" spans="2:6" ht="15.75" customHeight="1" x14ac:dyDescent="0.45">
      <c r="B250" s="143"/>
      <c r="C250" s="427"/>
      <c r="D250" s="143"/>
      <c r="E250" s="143"/>
      <c r="F250" s="143"/>
    </row>
    <row r="251" spans="2:6" ht="15.75" customHeight="1" x14ac:dyDescent="0.45">
      <c r="B251" s="143"/>
      <c r="C251" s="427"/>
      <c r="D251" s="143"/>
      <c r="E251" s="143"/>
      <c r="F251" s="143"/>
    </row>
    <row r="252" spans="2:6" ht="15.75" customHeight="1" x14ac:dyDescent="0.45">
      <c r="B252" s="143"/>
      <c r="C252" s="427"/>
      <c r="D252" s="143"/>
      <c r="E252" s="143"/>
      <c r="F252" s="143"/>
    </row>
    <row r="253" spans="2:6" ht="15.75" customHeight="1" x14ac:dyDescent="0.45">
      <c r="B253" s="143"/>
      <c r="C253" s="427"/>
      <c r="D253" s="143"/>
      <c r="E253" s="143"/>
      <c r="F253" s="143"/>
    </row>
    <row r="254" spans="2:6" ht="15.75" customHeight="1" x14ac:dyDescent="0.45">
      <c r="B254" s="143"/>
      <c r="C254" s="427"/>
      <c r="D254" s="143"/>
      <c r="E254" s="143"/>
      <c r="F254" s="143"/>
    </row>
    <row r="255" spans="2:6" ht="15.75" customHeight="1" x14ac:dyDescent="0.45">
      <c r="B255" s="143"/>
      <c r="C255" s="427"/>
      <c r="D255" s="143"/>
      <c r="E255" s="143"/>
      <c r="F255" s="143"/>
    </row>
    <row r="256" spans="2:6" ht="15.75" customHeight="1" x14ac:dyDescent="0.45">
      <c r="B256" s="143"/>
      <c r="C256" s="427"/>
      <c r="D256" s="143"/>
      <c r="E256" s="143"/>
      <c r="F256" s="143"/>
    </row>
    <row r="257" spans="2:6" ht="15.75" customHeight="1" x14ac:dyDescent="0.45">
      <c r="B257" s="143"/>
      <c r="C257" s="427"/>
      <c r="D257" s="143"/>
      <c r="E257" s="143"/>
      <c r="F257" s="143"/>
    </row>
    <row r="258" spans="2:6" ht="15.75" customHeight="1" x14ac:dyDescent="0.45">
      <c r="B258" s="143"/>
      <c r="C258" s="427"/>
      <c r="D258" s="143"/>
      <c r="E258" s="143"/>
      <c r="F258" s="143"/>
    </row>
    <row r="259" spans="2:6" ht="15.75" customHeight="1" x14ac:dyDescent="0.45">
      <c r="B259" s="143"/>
      <c r="C259" s="427"/>
      <c r="D259" s="143"/>
      <c r="E259" s="143"/>
      <c r="F259" s="143"/>
    </row>
    <row r="260" spans="2:6" ht="15.75" customHeight="1" x14ac:dyDescent="0.45">
      <c r="B260" s="143"/>
      <c r="C260" s="427"/>
      <c r="D260" s="143"/>
      <c r="E260" s="143"/>
      <c r="F260" s="143"/>
    </row>
    <row r="261" spans="2:6" ht="15.75" customHeight="1" x14ac:dyDescent="0.45">
      <c r="B261" s="143"/>
      <c r="C261" s="427"/>
      <c r="D261" s="143"/>
      <c r="E261" s="143"/>
      <c r="F261" s="143"/>
    </row>
    <row r="262" spans="2:6" ht="15.75" customHeight="1" x14ac:dyDescent="0.45">
      <c r="B262" s="143"/>
      <c r="C262" s="427"/>
      <c r="D262" s="143"/>
      <c r="E262" s="143"/>
      <c r="F262" s="143"/>
    </row>
    <row r="263" spans="2:6" ht="15.75" customHeight="1" x14ac:dyDescent="0.45">
      <c r="B263" s="143"/>
      <c r="C263" s="427"/>
      <c r="D263" s="143"/>
      <c r="E263" s="143"/>
      <c r="F263" s="143"/>
    </row>
    <row r="264" spans="2:6" ht="15.75" customHeight="1" x14ac:dyDescent="0.45">
      <c r="B264" s="143"/>
      <c r="C264" s="427"/>
      <c r="D264" s="143"/>
      <c r="E264" s="143"/>
      <c r="F264" s="143"/>
    </row>
    <row r="265" spans="2:6" ht="15.75" customHeight="1" x14ac:dyDescent="0.45">
      <c r="B265" s="143"/>
      <c r="C265" s="427"/>
      <c r="D265" s="143"/>
      <c r="E265" s="143"/>
      <c r="F265" s="143"/>
    </row>
    <row r="266" spans="2:6" ht="15.75" customHeight="1" x14ac:dyDescent="0.45">
      <c r="B266" s="143"/>
      <c r="C266" s="427"/>
      <c r="D266" s="143"/>
      <c r="E266" s="143"/>
      <c r="F266" s="143"/>
    </row>
    <row r="267" spans="2:6" ht="15.75" customHeight="1" x14ac:dyDescent="0.45">
      <c r="B267" s="143"/>
      <c r="C267" s="427"/>
      <c r="D267" s="143"/>
      <c r="E267" s="143"/>
      <c r="F267" s="143"/>
    </row>
    <row r="268" spans="2:6" ht="15.75" customHeight="1" x14ac:dyDescent="0.45">
      <c r="B268" s="143"/>
      <c r="C268" s="427"/>
      <c r="D268" s="143"/>
      <c r="E268" s="143"/>
      <c r="F268" s="143"/>
    </row>
    <row r="269" spans="2:6" ht="15.75" customHeight="1" x14ac:dyDescent="0.45">
      <c r="B269" s="143"/>
      <c r="C269" s="427"/>
      <c r="D269" s="143"/>
      <c r="E269" s="143"/>
      <c r="F269" s="143"/>
    </row>
    <row r="270" spans="2:6" ht="15.75" customHeight="1" x14ac:dyDescent="0.45">
      <c r="B270" s="143"/>
      <c r="C270" s="427"/>
      <c r="D270" s="143"/>
      <c r="E270" s="143"/>
      <c r="F270" s="143"/>
    </row>
    <row r="271" spans="2:6" ht="15.75" customHeight="1" x14ac:dyDescent="0.45">
      <c r="B271" s="143"/>
      <c r="C271" s="427"/>
      <c r="D271" s="143"/>
      <c r="E271" s="143"/>
      <c r="F271" s="143"/>
    </row>
    <row r="272" spans="2:6" ht="15.75" customHeight="1" x14ac:dyDescent="0.45">
      <c r="B272" s="143"/>
      <c r="C272" s="427"/>
      <c r="D272" s="143"/>
      <c r="E272" s="143"/>
      <c r="F272" s="143"/>
    </row>
    <row r="273" spans="2:6" ht="15.75" customHeight="1" x14ac:dyDescent="0.45">
      <c r="B273" s="143"/>
      <c r="C273" s="427"/>
      <c r="D273" s="143"/>
      <c r="E273" s="143"/>
      <c r="F273" s="143"/>
    </row>
    <row r="274" spans="2:6" ht="15.75" customHeight="1" x14ac:dyDescent="0.45">
      <c r="B274" s="143"/>
      <c r="C274" s="427"/>
      <c r="D274" s="143"/>
      <c r="E274" s="143"/>
      <c r="F274" s="143"/>
    </row>
    <row r="275" spans="2:6" ht="15.75" customHeight="1" x14ac:dyDescent="0.45">
      <c r="B275" s="143"/>
      <c r="C275" s="427"/>
      <c r="D275" s="143"/>
      <c r="E275" s="143"/>
      <c r="F275" s="143"/>
    </row>
    <row r="276" spans="2:6" ht="15.75" customHeight="1" x14ac:dyDescent="0.45">
      <c r="B276" s="143"/>
      <c r="C276" s="427"/>
      <c r="D276" s="143"/>
      <c r="E276" s="143"/>
      <c r="F276" s="143"/>
    </row>
    <row r="277" spans="2:6" ht="15.75" customHeight="1" x14ac:dyDescent="0.45">
      <c r="B277" s="143"/>
      <c r="C277" s="427"/>
      <c r="D277" s="143"/>
      <c r="E277" s="143"/>
      <c r="F277" s="143"/>
    </row>
    <row r="278" spans="2:6" ht="15.75" customHeight="1" x14ac:dyDescent="0.45">
      <c r="B278" s="143"/>
      <c r="C278" s="427"/>
      <c r="D278" s="143"/>
      <c r="E278" s="143"/>
      <c r="F278" s="143"/>
    </row>
    <row r="279" spans="2:6" ht="15.75" customHeight="1" x14ac:dyDescent="0.45">
      <c r="B279" s="143"/>
      <c r="C279" s="427"/>
      <c r="D279" s="143"/>
      <c r="E279" s="143"/>
      <c r="F279" s="143"/>
    </row>
    <row r="280" spans="2:6" ht="15.75" customHeight="1" x14ac:dyDescent="0.45">
      <c r="B280" s="143"/>
      <c r="C280" s="427"/>
      <c r="D280" s="143"/>
      <c r="E280" s="143"/>
      <c r="F280" s="143"/>
    </row>
    <row r="281" spans="2:6" ht="15.75" customHeight="1" x14ac:dyDescent="0.45">
      <c r="B281" s="143"/>
      <c r="C281" s="427"/>
      <c r="D281" s="143"/>
      <c r="E281" s="143"/>
      <c r="F281" s="143"/>
    </row>
    <row r="282" spans="2:6" ht="15.75" customHeight="1" x14ac:dyDescent="0.45">
      <c r="B282" s="143"/>
      <c r="C282" s="427"/>
      <c r="D282" s="143"/>
      <c r="E282" s="143"/>
      <c r="F282" s="143"/>
    </row>
    <row r="283" spans="2:6" ht="15.75" customHeight="1" x14ac:dyDescent="0.45">
      <c r="B283" s="143"/>
      <c r="C283" s="427"/>
      <c r="D283" s="143"/>
      <c r="E283" s="143"/>
      <c r="F283" s="143"/>
    </row>
    <row r="284" spans="2:6" ht="15.75" customHeight="1" x14ac:dyDescent="0.45">
      <c r="B284" s="143"/>
      <c r="C284" s="427"/>
      <c r="D284" s="143"/>
      <c r="E284" s="143"/>
      <c r="F284" s="143"/>
    </row>
    <row r="285" spans="2:6" ht="15.75" customHeight="1" x14ac:dyDescent="0.45">
      <c r="B285" s="143"/>
      <c r="C285" s="427"/>
      <c r="D285" s="143"/>
      <c r="E285" s="143"/>
      <c r="F285" s="143"/>
    </row>
    <row r="286" spans="2:6" ht="15.75" customHeight="1" x14ac:dyDescent="0.45">
      <c r="B286" s="143"/>
      <c r="C286" s="427"/>
      <c r="D286" s="143"/>
      <c r="E286" s="143"/>
      <c r="F286" s="143"/>
    </row>
    <row r="287" spans="2:6" ht="15.75" customHeight="1" x14ac:dyDescent="0.45">
      <c r="B287" s="143"/>
      <c r="C287" s="427"/>
      <c r="D287" s="143"/>
      <c r="E287" s="143"/>
      <c r="F287" s="143"/>
    </row>
    <row r="288" spans="2:6" ht="15.75" customHeight="1" x14ac:dyDescent="0.45">
      <c r="B288" s="143"/>
      <c r="C288" s="427"/>
      <c r="D288" s="143"/>
      <c r="E288" s="143"/>
      <c r="F288" s="143"/>
    </row>
    <row r="289" spans="2:6" ht="15.75" customHeight="1" x14ac:dyDescent="0.45">
      <c r="B289" s="143"/>
      <c r="C289" s="427"/>
      <c r="D289" s="143"/>
      <c r="E289" s="143"/>
      <c r="F289" s="143"/>
    </row>
    <row r="290" spans="2:6" ht="15.75" customHeight="1" x14ac:dyDescent="0.45">
      <c r="B290" s="143"/>
      <c r="C290" s="427"/>
      <c r="D290" s="143"/>
      <c r="E290" s="143"/>
      <c r="F290" s="143"/>
    </row>
    <row r="291" spans="2:6" ht="15.75" customHeight="1" x14ac:dyDescent="0.45">
      <c r="B291" s="143"/>
      <c r="C291" s="427"/>
      <c r="D291" s="143"/>
      <c r="E291" s="143"/>
      <c r="F291" s="143"/>
    </row>
    <row r="292" spans="2:6" ht="15.75" customHeight="1" x14ac:dyDescent="0.45">
      <c r="B292" s="143"/>
      <c r="C292" s="427"/>
      <c r="D292" s="143"/>
      <c r="E292" s="143"/>
      <c r="F292" s="143"/>
    </row>
    <row r="293" spans="2:6" ht="15.75" customHeight="1" x14ac:dyDescent="0.45">
      <c r="B293" s="143"/>
      <c r="C293" s="427"/>
      <c r="D293" s="143"/>
      <c r="E293" s="143"/>
      <c r="F293" s="143"/>
    </row>
    <row r="294" spans="2:6" ht="15.75" customHeight="1" x14ac:dyDescent="0.45">
      <c r="B294" s="143"/>
      <c r="C294" s="427"/>
      <c r="D294" s="143"/>
      <c r="E294" s="143"/>
      <c r="F294" s="143"/>
    </row>
    <row r="295" spans="2:6" ht="15.75" customHeight="1" x14ac:dyDescent="0.45">
      <c r="B295" s="143"/>
      <c r="C295" s="427"/>
      <c r="D295" s="143"/>
      <c r="E295" s="143"/>
      <c r="F295" s="143"/>
    </row>
    <row r="296" spans="2:6" ht="15.75" customHeight="1" x14ac:dyDescent="0.45">
      <c r="B296" s="143"/>
      <c r="C296" s="427"/>
      <c r="D296" s="143"/>
      <c r="E296" s="143"/>
      <c r="F296" s="143"/>
    </row>
    <row r="297" spans="2:6" ht="15.75" customHeight="1" x14ac:dyDescent="0.45">
      <c r="B297" s="143"/>
      <c r="C297" s="427"/>
      <c r="D297" s="143"/>
      <c r="E297" s="143"/>
      <c r="F297" s="143"/>
    </row>
    <row r="298" spans="2:6" ht="15.75" customHeight="1" x14ac:dyDescent="0.45">
      <c r="B298" s="143"/>
      <c r="C298" s="427"/>
      <c r="D298" s="143"/>
      <c r="E298" s="143"/>
      <c r="F298" s="143"/>
    </row>
    <row r="299" spans="2:6" ht="15.75" customHeight="1" x14ac:dyDescent="0.45">
      <c r="B299" s="143"/>
      <c r="C299" s="427"/>
      <c r="D299" s="143"/>
      <c r="E299" s="143"/>
      <c r="F299" s="143"/>
    </row>
    <row r="300" spans="2:6" ht="15.75" customHeight="1" x14ac:dyDescent="0.45">
      <c r="B300" s="143"/>
      <c r="C300" s="427"/>
      <c r="D300" s="143"/>
      <c r="E300" s="143"/>
      <c r="F300" s="143"/>
    </row>
    <row r="301" spans="2:6" ht="15.75" customHeight="1" x14ac:dyDescent="0.45">
      <c r="B301" s="143"/>
      <c r="C301" s="427"/>
      <c r="D301" s="143"/>
      <c r="E301" s="143"/>
      <c r="F301" s="143"/>
    </row>
    <row r="302" spans="2:6" ht="15.75" customHeight="1" x14ac:dyDescent="0.45">
      <c r="B302" s="143"/>
      <c r="C302" s="427"/>
      <c r="D302" s="143"/>
      <c r="E302" s="143"/>
      <c r="F302" s="143"/>
    </row>
    <row r="303" spans="2:6" ht="15.75" customHeight="1" x14ac:dyDescent="0.45">
      <c r="B303" s="143"/>
      <c r="C303" s="427"/>
      <c r="D303" s="143"/>
      <c r="E303" s="143"/>
      <c r="F303" s="143"/>
    </row>
    <row r="304" spans="2:6" ht="15.75" customHeight="1" x14ac:dyDescent="0.45">
      <c r="B304" s="143"/>
      <c r="C304" s="427"/>
      <c r="D304" s="143"/>
      <c r="E304" s="143"/>
      <c r="F304" s="143"/>
    </row>
    <row r="305" spans="2:6" ht="15.75" customHeight="1" x14ac:dyDescent="0.45">
      <c r="B305" s="143"/>
      <c r="C305" s="427"/>
      <c r="D305" s="143"/>
      <c r="E305" s="143"/>
      <c r="F305" s="143"/>
    </row>
    <row r="306" spans="2:6" ht="15.75" customHeight="1" x14ac:dyDescent="0.45">
      <c r="B306" s="143"/>
      <c r="C306" s="427"/>
      <c r="D306" s="143"/>
      <c r="E306" s="143"/>
      <c r="F306" s="143"/>
    </row>
    <row r="307" spans="2:6" ht="15.75" customHeight="1" x14ac:dyDescent="0.45">
      <c r="B307" s="143"/>
      <c r="C307" s="427"/>
      <c r="D307" s="143"/>
      <c r="E307" s="143"/>
      <c r="F307" s="143"/>
    </row>
    <row r="308" spans="2:6" ht="15.75" customHeight="1" x14ac:dyDescent="0.45">
      <c r="B308" s="143"/>
      <c r="C308" s="427"/>
      <c r="D308" s="143"/>
      <c r="E308" s="143"/>
      <c r="F308" s="143"/>
    </row>
    <row r="309" spans="2:6" ht="15.75" customHeight="1" x14ac:dyDescent="0.45">
      <c r="B309" s="143"/>
      <c r="C309" s="427"/>
      <c r="D309" s="143"/>
      <c r="E309" s="143"/>
      <c r="F309" s="143"/>
    </row>
    <row r="310" spans="2:6" ht="15.75" customHeight="1" x14ac:dyDescent="0.45">
      <c r="B310" s="143"/>
      <c r="C310" s="427"/>
      <c r="D310" s="143"/>
      <c r="E310" s="143"/>
      <c r="F310" s="143"/>
    </row>
    <row r="311" spans="2:6" ht="15.75" customHeight="1" x14ac:dyDescent="0.45">
      <c r="B311" s="143"/>
      <c r="C311" s="427"/>
      <c r="D311" s="143"/>
      <c r="E311" s="143"/>
      <c r="F311" s="143"/>
    </row>
    <row r="312" spans="2:6" ht="15.75" customHeight="1" x14ac:dyDescent="0.45">
      <c r="B312" s="143"/>
      <c r="C312" s="427"/>
      <c r="D312" s="143"/>
      <c r="E312" s="143"/>
      <c r="F312" s="143"/>
    </row>
    <row r="313" spans="2:6" ht="15.75" customHeight="1" x14ac:dyDescent="0.45">
      <c r="B313" s="143"/>
      <c r="C313" s="427"/>
      <c r="D313" s="143"/>
      <c r="E313" s="143"/>
      <c r="F313" s="143"/>
    </row>
    <row r="314" spans="2:6" ht="15.75" customHeight="1" x14ac:dyDescent="0.45">
      <c r="B314" s="143"/>
      <c r="C314" s="427"/>
      <c r="D314" s="143"/>
      <c r="E314" s="143"/>
      <c r="F314" s="143"/>
    </row>
    <row r="315" spans="2:6" ht="15.75" customHeight="1" x14ac:dyDescent="0.45">
      <c r="B315" s="143"/>
      <c r="C315" s="427"/>
      <c r="D315" s="143"/>
      <c r="E315" s="143"/>
      <c r="F315" s="143"/>
    </row>
    <row r="316" spans="2:6" ht="15.75" customHeight="1" x14ac:dyDescent="0.45">
      <c r="B316" s="143"/>
      <c r="C316" s="427"/>
      <c r="D316" s="143"/>
      <c r="E316" s="143"/>
      <c r="F316" s="143"/>
    </row>
    <row r="317" spans="2:6" ht="15.75" customHeight="1" x14ac:dyDescent="0.45">
      <c r="B317" s="143"/>
      <c r="C317" s="427"/>
      <c r="D317" s="143"/>
      <c r="E317" s="143"/>
      <c r="F317" s="143"/>
    </row>
    <row r="318" spans="2:6" ht="15.75" customHeight="1" x14ac:dyDescent="0.45">
      <c r="B318" s="143"/>
      <c r="C318" s="427"/>
      <c r="D318" s="143"/>
      <c r="E318" s="143"/>
      <c r="F318" s="143"/>
    </row>
    <row r="319" spans="2:6" ht="15.75" customHeight="1" x14ac:dyDescent="0.45">
      <c r="B319" s="143"/>
      <c r="C319" s="427"/>
      <c r="D319" s="143"/>
      <c r="E319" s="143"/>
      <c r="F319" s="143"/>
    </row>
    <row r="320" spans="2:6" ht="15.75" customHeight="1" x14ac:dyDescent="0.45">
      <c r="B320" s="143"/>
      <c r="C320" s="427"/>
      <c r="D320" s="143"/>
      <c r="E320" s="143"/>
      <c r="F320" s="143"/>
    </row>
    <row r="321" spans="2:6" ht="15.75" customHeight="1" x14ac:dyDescent="0.45">
      <c r="B321" s="143"/>
      <c r="C321" s="427"/>
      <c r="D321" s="143"/>
      <c r="E321" s="143"/>
      <c r="F321" s="143"/>
    </row>
    <row r="322" spans="2:6" ht="15.75" customHeight="1" x14ac:dyDescent="0.45">
      <c r="B322" s="143"/>
      <c r="C322" s="427"/>
      <c r="D322" s="143"/>
      <c r="E322" s="143"/>
      <c r="F322" s="143"/>
    </row>
    <row r="323" spans="2:6" ht="15.75" customHeight="1" x14ac:dyDescent="0.45">
      <c r="B323" s="143"/>
      <c r="C323" s="427"/>
      <c r="D323" s="143"/>
      <c r="E323" s="143"/>
      <c r="F323" s="143"/>
    </row>
    <row r="324" spans="2:6" ht="15.75" customHeight="1" x14ac:dyDescent="0.45">
      <c r="B324" s="143"/>
      <c r="C324" s="427"/>
      <c r="D324" s="143"/>
      <c r="E324" s="143"/>
      <c r="F324" s="143"/>
    </row>
    <row r="325" spans="2:6" ht="15.75" customHeight="1" x14ac:dyDescent="0.45">
      <c r="B325" s="143"/>
      <c r="C325" s="427"/>
      <c r="D325" s="143"/>
      <c r="E325" s="143"/>
      <c r="F325" s="143"/>
    </row>
    <row r="326" spans="2:6" ht="15.75" customHeight="1" x14ac:dyDescent="0.45">
      <c r="B326" s="143"/>
      <c r="C326" s="427"/>
      <c r="D326" s="143"/>
      <c r="E326" s="143"/>
      <c r="F326" s="143"/>
    </row>
    <row r="327" spans="2:6" ht="15.75" customHeight="1" x14ac:dyDescent="0.45">
      <c r="B327" s="143"/>
      <c r="C327" s="427"/>
      <c r="D327" s="143"/>
      <c r="E327" s="143"/>
      <c r="F327" s="143"/>
    </row>
    <row r="328" spans="2:6" ht="15.75" customHeight="1" x14ac:dyDescent="0.45">
      <c r="B328" s="143"/>
      <c r="C328" s="427"/>
      <c r="D328" s="143"/>
      <c r="E328" s="143"/>
      <c r="F328" s="143"/>
    </row>
    <row r="329" spans="2:6" ht="15.75" customHeight="1" x14ac:dyDescent="0.45">
      <c r="B329" s="143"/>
      <c r="C329" s="427"/>
      <c r="D329" s="143"/>
      <c r="E329" s="143"/>
      <c r="F329" s="143"/>
    </row>
    <row r="330" spans="2:6" ht="15.75" customHeight="1" x14ac:dyDescent="0.45">
      <c r="B330" s="143"/>
      <c r="C330" s="427"/>
      <c r="D330" s="143"/>
      <c r="E330" s="143"/>
      <c r="F330" s="143"/>
    </row>
    <row r="331" spans="2:6" ht="15.75" customHeight="1" x14ac:dyDescent="0.45">
      <c r="B331" s="143"/>
      <c r="C331" s="427"/>
      <c r="D331" s="143"/>
      <c r="E331" s="143"/>
      <c r="F331" s="143"/>
    </row>
    <row r="332" spans="2:6" ht="15.75" customHeight="1" x14ac:dyDescent="0.45">
      <c r="B332" s="143"/>
      <c r="C332" s="427"/>
      <c r="D332" s="143"/>
      <c r="E332" s="143"/>
      <c r="F332" s="143"/>
    </row>
    <row r="333" spans="2:6" ht="15.75" customHeight="1" x14ac:dyDescent="0.45">
      <c r="B333" s="143"/>
      <c r="C333" s="427"/>
      <c r="D333" s="143"/>
      <c r="E333" s="143"/>
      <c r="F333" s="143"/>
    </row>
    <row r="334" spans="2:6" ht="15.75" customHeight="1" x14ac:dyDescent="0.45">
      <c r="B334" s="143"/>
      <c r="C334" s="427"/>
      <c r="D334" s="143"/>
      <c r="E334" s="143"/>
      <c r="F334" s="143"/>
    </row>
    <row r="335" spans="2:6" ht="15.75" customHeight="1" x14ac:dyDescent="0.45">
      <c r="B335" s="143"/>
      <c r="C335" s="427"/>
      <c r="D335" s="143"/>
      <c r="E335" s="143"/>
      <c r="F335" s="143"/>
    </row>
    <row r="336" spans="2:6" ht="15.75" customHeight="1" x14ac:dyDescent="0.45">
      <c r="B336" s="143"/>
      <c r="C336" s="427"/>
      <c r="D336" s="143"/>
      <c r="E336" s="143"/>
      <c r="F336" s="143"/>
    </row>
    <row r="337" spans="2:6" ht="15.75" customHeight="1" x14ac:dyDescent="0.45">
      <c r="B337" s="143"/>
      <c r="C337" s="427"/>
      <c r="D337" s="143"/>
      <c r="E337" s="143"/>
      <c r="F337" s="143"/>
    </row>
    <row r="338" spans="2:6" ht="15.75" customHeight="1" x14ac:dyDescent="0.45">
      <c r="B338" s="143"/>
      <c r="C338" s="427"/>
      <c r="D338" s="143"/>
      <c r="E338" s="143"/>
      <c r="F338" s="143"/>
    </row>
    <row r="339" spans="2:6" ht="15.75" customHeight="1" x14ac:dyDescent="0.45">
      <c r="B339" s="143"/>
      <c r="C339" s="427"/>
      <c r="D339" s="143"/>
      <c r="E339" s="143"/>
      <c r="F339" s="143"/>
    </row>
    <row r="340" spans="2:6" ht="15.75" customHeight="1" x14ac:dyDescent="0.45">
      <c r="B340" s="143"/>
      <c r="C340" s="427"/>
      <c r="D340" s="143"/>
      <c r="E340" s="143"/>
      <c r="F340" s="143"/>
    </row>
    <row r="341" spans="2:6" ht="15.75" customHeight="1" x14ac:dyDescent="0.45">
      <c r="B341" s="143"/>
      <c r="C341" s="427"/>
      <c r="D341" s="143"/>
      <c r="E341" s="143"/>
      <c r="F341" s="143"/>
    </row>
    <row r="342" spans="2:6" ht="15.75" customHeight="1" x14ac:dyDescent="0.45">
      <c r="B342" s="143"/>
      <c r="C342" s="427"/>
      <c r="D342" s="143"/>
      <c r="E342" s="143"/>
      <c r="F342" s="143"/>
    </row>
    <row r="343" spans="2:6" ht="15.75" customHeight="1" x14ac:dyDescent="0.45">
      <c r="B343" s="143"/>
      <c r="C343" s="427"/>
      <c r="D343" s="143"/>
      <c r="E343" s="143"/>
      <c r="F343" s="143"/>
    </row>
    <row r="344" spans="2:6" ht="15.75" customHeight="1" x14ac:dyDescent="0.45">
      <c r="B344" s="143"/>
      <c r="C344" s="427"/>
      <c r="D344" s="143"/>
      <c r="E344" s="143"/>
      <c r="F344" s="143"/>
    </row>
    <row r="345" spans="2:6" ht="15.75" customHeight="1" x14ac:dyDescent="0.45">
      <c r="B345" s="143"/>
      <c r="C345" s="427"/>
      <c r="D345" s="143"/>
      <c r="E345" s="143"/>
      <c r="F345" s="143"/>
    </row>
    <row r="346" spans="2:6" ht="15.75" customHeight="1" x14ac:dyDescent="0.45">
      <c r="B346" s="143"/>
      <c r="C346" s="427"/>
      <c r="D346" s="143"/>
      <c r="E346" s="143"/>
      <c r="F346" s="143"/>
    </row>
    <row r="347" spans="2:6" ht="15.75" customHeight="1" x14ac:dyDescent="0.45">
      <c r="B347" s="143"/>
      <c r="C347" s="427"/>
      <c r="D347" s="143"/>
      <c r="E347" s="143"/>
      <c r="F347" s="143"/>
    </row>
    <row r="348" spans="2:6" ht="15.75" customHeight="1" x14ac:dyDescent="0.45">
      <c r="B348" s="143"/>
      <c r="C348" s="427"/>
      <c r="D348" s="143"/>
      <c r="E348" s="143"/>
      <c r="F348" s="143"/>
    </row>
    <row r="349" spans="2:6" ht="15.75" customHeight="1" x14ac:dyDescent="0.45">
      <c r="B349" s="143"/>
      <c r="C349" s="427"/>
      <c r="D349" s="143"/>
      <c r="E349" s="143"/>
      <c r="F349" s="143"/>
    </row>
    <row r="350" spans="2:6" ht="15.75" customHeight="1" x14ac:dyDescent="0.45">
      <c r="B350" s="143"/>
      <c r="C350" s="427"/>
      <c r="D350" s="143"/>
      <c r="E350" s="143"/>
      <c r="F350" s="143"/>
    </row>
    <row r="351" spans="2:6" ht="15.75" customHeight="1" x14ac:dyDescent="0.45">
      <c r="B351" s="143"/>
      <c r="C351" s="427"/>
      <c r="D351" s="143"/>
      <c r="E351" s="143"/>
      <c r="F351" s="143"/>
    </row>
    <row r="352" spans="2:6" ht="15.75" customHeight="1" x14ac:dyDescent="0.45">
      <c r="B352" s="143"/>
      <c r="C352" s="427"/>
      <c r="D352" s="143"/>
      <c r="E352" s="143"/>
      <c r="F352" s="143"/>
    </row>
    <row r="353" spans="2:6" ht="15.75" customHeight="1" x14ac:dyDescent="0.45">
      <c r="B353" s="143"/>
      <c r="C353" s="427"/>
      <c r="D353" s="143"/>
      <c r="E353" s="143"/>
      <c r="F353" s="143"/>
    </row>
    <row r="354" spans="2:6" ht="15.75" customHeight="1" x14ac:dyDescent="0.45">
      <c r="B354" s="143"/>
      <c r="C354" s="427"/>
      <c r="D354" s="143"/>
      <c r="E354" s="143"/>
      <c r="F354" s="143"/>
    </row>
    <row r="355" spans="2:6" ht="15.75" customHeight="1" x14ac:dyDescent="0.45">
      <c r="B355" s="143"/>
      <c r="C355" s="427"/>
      <c r="D355" s="143"/>
      <c r="E355" s="143"/>
      <c r="F355" s="143"/>
    </row>
    <row r="356" spans="2:6" ht="15.75" customHeight="1" x14ac:dyDescent="0.45">
      <c r="B356" s="143"/>
      <c r="C356" s="427"/>
      <c r="D356" s="143"/>
      <c r="E356" s="143"/>
      <c r="F356" s="143"/>
    </row>
    <row r="357" spans="2:6" ht="15.75" customHeight="1" x14ac:dyDescent="0.45">
      <c r="B357" s="143"/>
      <c r="C357" s="427"/>
      <c r="D357" s="143"/>
      <c r="E357" s="143"/>
      <c r="F357" s="143"/>
    </row>
    <row r="358" spans="2:6" ht="15.75" customHeight="1" x14ac:dyDescent="0.45">
      <c r="B358" s="143"/>
      <c r="C358" s="427"/>
      <c r="D358" s="143"/>
      <c r="E358" s="143"/>
      <c r="F358" s="143"/>
    </row>
    <row r="359" spans="2:6" ht="15.75" customHeight="1" x14ac:dyDescent="0.45">
      <c r="B359" s="143"/>
      <c r="C359" s="427"/>
      <c r="D359" s="143"/>
      <c r="E359" s="143"/>
      <c r="F359" s="143"/>
    </row>
    <row r="360" spans="2:6" ht="15.75" customHeight="1" x14ac:dyDescent="0.45">
      <c r="B360" s="143"/>
      <c r="C360" s="427"/>
      <c r="D360" s="143"/>
      <c r="E360" s="143"/>
      <c r="F360" s="143"/>
    </row>
    <row r="361" spans="2:6" ht="15.75" customHeight="1" x14ac:dyDescent="0.45">
      <c r="B361" s="143"/>
      <c r="C361" s="427"/>
      <c r="D361" s="143"/>
      <c r="E361" s="143"/>
      <c r="F361" s="143"/>
    </row>
    <row r="362" spans="2:6" ht="15.75" customHeight="1" x14ac:dyDescent="0.45">
      <c r="B362" s="143"/>
      <c r="C362" s="427"/>
      <c r="D362" s="143"/>
      <c r="E362" s="143"/>
      <c r="F362" s="143"/>
    </row>
    <row r="363" spans="2:6" ht="15.75" customHeight="1" x14ac:dyDescent="0.45">
      <c r="B363" s="143"/>
      <c r="C363" s="427"/>
      <c r="D363" s="143"/>
      <c r="E363" s="143"/>
      <c r="F363" s="143"/>
    </row>
    <row r="364" spans="2:6" ht="15.75" customHeight="1" x14ac:dyDescent="0.45">
      <c r="B364" s="143"/>
      <c r="C364" s="427"/>
      <c r="D364" s="143"/>
      <c r="E364" s="143"/>
      <c r="F364" s="143"/>
    </row>
    <row r="365" spans="2:6" ht="15.75" customHeight="1" x14ac:dyDescent="0.45">
      <c r="B365" s="143"/>
      <c r="C365" s="427"/>
      <c r="D365" s="143"/>
      <c r="E365" s="143"/>
      <c r="F365" s="143"/>
    </row>
    <row r="366" spans="2:6" ht="15.75" customHeight="1" x14ac:dyDescent="0.45">
      <c r="B366" s="143"/>
      <c r="C366" s="427"/>
      <c r="D366" s="143"/>
      <c r="E366" s="143"/>
      <c r="F366" s="143"/>
    </row>
    <row r="367" spans="2:6" ht="15.75" customHeight="1" x14ac:dyDescent="0.45">
      <c r="B367" s="143"/>
      <c r="C367" s="427"/>
      <c r="D367" s="143"/>
      <c r="E367" s="143"/>
      <c r="F367" s="143"/>
    </row>
    <row r="368" spans="2:6" ht="15.75" customHeight="1" x14ac:dyDescent="0.45">
      <c r="B368" s="143"/>
      <c r="C368" s="427"/>
      <c r="D368" s="143"/>
      <c r="E368" s="143"/>
      <c r="F368" s="143"/>
    </row>
    <row r="369" spans="2:6" ht="15.75" customHeight="1" x14ac:dyDescent="0.45">
      <c r="B369" s="143"/>
      <c r="C369" s="427"/>
      <c r="D369" s="143"/>
      <c r="E369" s="143"/>
      <c r="F369" s="143"/>
    </row>
    <row r="370" spans="2:6" ht="15.75" customHeight="1" x14ac:dyDescent="0.45">
      <c r="B370" s="143"/>
      <c r="C370" s="427"/>
      <c r="D370" s="143"/>
      <c r="E370" s="143"/>
      <c r="F370" s="143"/>
    </row>
    <row r="371" spans="2:6" ht="15.75" customHeight="1" x14ac:dyDescent="0.45">
      <c r="B371" s="143"/>
      <c r="C371" s="427"/>
      <c r="D371" s="143"/>
      <c r="E371" s="143"/>
      <c r="F371" s="143"/>
    </row>
    <row r="372" spans="2:6" ht="15.75" customHeight="1" x14ac:dyDescent="0.45">
      <c r="B372" s="143"/>
      <c r="C372" s="427"/>
      <c r="D372" s="143"/>
      <c r="E372" s="143"/>
      <c r="F372" s="143"/>
    </row>
    <row r="373" spans="2:6" ht="15.75" customHeight="1" x14ac:dyDescent="0.45">
      <c r="B373" s="143"/>
      <c r="C373" s="427"/>
      <c r="D373" s="143"/>
      <c r="E373" s="143"/>
      <c r="F373" s="143"/>
    </row>
    <row r="374" spans="2:6" ht="15.75" customHeight="1" x14ac:dyDescent="0.45">
      <c r="B374" s="143"/>
      <c r="C374" s="427"/>
      <c r="D374" s="143"/>
      <c r="E374" s="143"/>
      <c r="F374" s="143"/>
    </row>
    <row r="375" spans="2:6" ht="15.75" customHeight="1" x14ac:dyDescent="0.45">
      <c r="B375" s="143"/>
      <c r="C375" s="427"/>
      <c r="D375" s="143"/>
      <c r="E375" s="143"/>
      <c r="F375" s="143"/>
    </row>
    <row r="376" spans="2:6" ht="15.75" customHeight="1" x14ac:dyDescent="0.45">
      <c r="B376" s="143"/>
      <c r="C376" s="427"/>
      <c r="D376" s="143"/>
      <c r="E376" s="143"/>
      <c r="F376" s="143"/>
    </row>
    <row r="377" spans="2:6" ht="15.75" customHeight="1" x14ac:dyDescent="0.45">
      <c r="B377" s="143"/>
      <c r="C377" s="427"/>
      <c r="D377" s="143"/>
      <c r="E377" s="143"/>
      <c r="F377" s="143"/>
    </row>
    <row r="378" spans="2:6" ht="15.75" customHeight="1" x14ac:dyDescent="0.45">
      <c r="B378" s="143"/>
      <c r="C378" s="427"/>
      <c r="D378" s="143"/>
      <c r="E378" s="143"/>
      <c r="F378" s="143"/>
    </row>
    <row r="379" spans="2:6" ht="15.75" customHeight="1" x14ac:dyDescent="0.45">
      <c r="B379" s="143"/>
      <c r="C379" s="427"/>
      <c r="D379" s="143"/>
      <c r="E379" s="143"/>
      <c r="F379" s="143"/>
    </row>
    <row r="380" spans="2:6" ht="15.75" customHeight="1" x14ac:dyDescent="0.45">
      <c r="B380" s="143"/>
      <c r="C380" s="427"/>
      <c r="D380" s="143"/>
      <c r="E380" s="143"/>
      <c r="F380" s="143"/>
    </row>
    <row r="381" spans="2:6" ht="15.75" customHeight="1" x14ac:dyDescent="0.45">
      <c r="B381" s="143"/>
      <c r="C381" s="427"/>
      <c r="D381" s="143"/>
      <c r="E381" s="143"/>
      <c r="F381" s="143"/>
    </row>
    <row r="382" spans="2:6" ht="15.75" customHeight="1" x14ac:dyDescent="0.45">
      <c r="B382" s="143"/>
      <c r="C382" s="427"/>
      <c r="D382" s="143"/>
      <c r="E382" s="143"/>
      <c r="F382" s="143"/>
    </row>
    <row r="383" spans="2:6" ht="15.75" customHeight="1" x14ac:dyDescent="0.45">
      <c r="B383" s="143"/>
      <c r="C383" s="427"/>
      <c r="D383" s="143"/>
      <c r="E383" s="143"/>
      <c r="F383" s="143"/>
    </row>
    <row r="384" spans="2:6" ht="15.75" customHeight="1" x14ac:dyDescent="0.45">
      <c r="B384" s="143"/>
      <c r="C384" s="427"/>
      <c r="D384" s="143"/>
      <c r="E384" s="143"/>
      <c r="F384" s="143"/>
    </row>
    <row r="385" spans="2:6" ht="15.75" customHeight="1" x14ac:dyDescent="0.45">
      <c r="B385" s="143"/>
      <c r="C385" s="427"/>
      <c r="D385" s="143"/>
      <c r="E385" s="143"/>
      <c r="F385" s="143"/>
    </row>
    <row r="386" spans="2:6" ht="15.75" customHeight="1" x14ac:dyDescent="0.45">
      <c r="B386" s="143"/>
      <c r="C386" s="427"/>
      <c r="D386" s="143"/>
      <c r="E386" s="143"/>
      <c r="F386" s="143"/>
    </row>
    <row r="387" spans="2:6" ht="15.75" customHeight="1" x14ac:dyDescent="0.45">
      <c r="B387" s="143"/>
      <c r="C387" s="427"/>
      <c r="D387" s="143"/>
      <c r="E387" s="143"/>
      <c r="F387" s="143"/>
    </row>
    <row r="388" spans="2:6" ht="15.75" customHeight="1" x14ac:dyDescent="0.45">
      <c r="B388" s="143"/>
      <c r="C388" s="427"/>
      <c r="D388" s="143"/>
      <c r="E388" s="143"/>
      <c r="F388" s="143"/>
    </row>
    <row r="389" spans="2:6" ht="15.75" customHeight="1" x14ac:dyDescent="0.45">
      <c r="B389" s="143"/>
      <c r="C389" s="427"/>
      <c r="D389" s="143"/>
      <c r="E389" s="143"/>
      <c r="F389" s="143"/>
    </row>
    <row r="390" spans="2:6" ht="15.75" customHeight="1" x14ac:dyDescent="0.45">
      <c r="B390" s="143"/>
      <c r="C390" s="427"/>
      <c r="D390" s="143"/>
      <c r="E390" s="143"/>
      <c r="F390" s="143"/>
    </row>
    <row r="391" spans="2:6" ht="15.75" customHeight="1" x14ac:dyDescent="0.45">
      <c r="B391" s="143"/>
      <c r="C391" s="427"/>
      <c r="D391" s="143"/>
      <c r="E391" s="143"/>
      <c r="F391" s="143"/>
    </row>
    <row r="392" spans="2:6" ht="15.75" customHeight="1" x14ac:dyDescent="0.45">
      <c r="B392" s="143"/>
      <c r="C392" s="427"/>
      <c r="D392" s="143"/>
      <c r="E392" s="143"/>
      <c r="F392" s="143"/>
    </row>
    <row r="393" spans="2:6" ht="15.75" customHeight="1" x14ac:dyDescent="0.45">
      <c r="B393" s="143"/>
      <c r="C393" s="427"/>
      <c r="D393" s="143"/>
      <c r="E393" s="143"/>
      <c r="F393" s="143"/>
    </row>
    <row r="394" spans="2:6" ht="15.75" customHeight="1" x14ac:dyDescent="0.45">
      <c r="B394" s="143"/>
      <c r="C394" s="427"/>
      <c r="D394" s="143"/>
      <c r="E394" s="143"/>
      <c r="F394" s="143"/>
    </row>
    <row r="395" spans="2:6" ht="15.75" customHeight="1" x14ac:dyDescent="0.45">
      <c r="B395" s="143"/>
      <c r="C395" s="427"/>
      <c r="D395" s="143"/>
      <c r="E395" s="143"/>
      <c r="F395" s="143"/>
    </row>
    <row r="396" spans="2:6" ht="15.75" customHeight="1" x14ac:dyDescent="0.45">
      <c r="B396" s="143"/>
      <c r="C396" s="427"/>
      <c r="D396" s="143"/>
      <c r="E396" s="143"/>
      <c r="F396" s="143"/>
    </row>
    <row r="397" spans="2:6" ht="15.75" customHeight="1" x14ac:dyDescent="0.45">
      <c r="B397" s="143"/>
      <c r="C397" s="427"/>
      <c r="D397" s="143"/>
      <c r="E397" s="143"/>
      <c r="F397" s="143"/>
    </row>
    <row r="398" spans="2:6" ht="15.75" customHeight="1" x14ac:dyDescent="0.45">
      <c r="B398" s="143"/>
      <c r="C398" s="427"/>
      <c r="D398" s="143"/>
      <c r="E398" s="143"/>
      <c r="F398" s="143"/>
    </row>
    <row r="399" spans="2:6" ht="15.75" customHeight="1" x14ac:dyDescent="0.45">
      <c r="B399" s="143"/>
      <c r="C399" s="427"/>
      <c r="D399" s="143"/>
      <c r="E399" s="143"/>
      <c r="F399" s="143"/>
    </row>
    <row r="400" spans="2:6" ht="15.75" customHeight="1" x14ac:dyDescent="0.45">
      <c r="B400" s="143"/>
      <c r="C400" s="427"/>
      <c r="D400" s="143"/>
      <c r="E400" s="143"/>
      <c r="F400" s="143"/>
    </row>
    <row r="401" spans="2:6" ht="15.75" customHeight="1" x14ac:dyDescent="0.45">
      <c r="B401" s="143"/>
      <c r="C401" s="427"/>
      <c r="D401" s="143"/>
      <c r="E401" s="143"/>
      <c r="F401" s="143"/>
    </row>
    <row r="402" spans="2:6" ht="15.75" customHeight="1" x14ac:dyDescent="0.45">
      <c r="B402" s="143"/>
      <c r="C402" s="427"/>
      <c r="D402" s="143"/>
      <c r="E402" s="143"/>
      <c r="F402" s="143"/>
    </row>
    <row r="403" spans="2:6" ht="15.75" customHeight="1" x14ac:dyDescent="0.45">
      <c r="B403" s="143"/>
      <c r="C403" s="427"/>
      <c r="D403" s="143"/>
      <c r="E403" s="143"/>
      <c r="F403" s="143"/>
    </row>
    <row r="404" spans="2:6" ht="15.75" customHeight="1" x14ac:dyDescent="0.45">
      <c r="B404" s="143"/>
      <c r="C404" s="427"/>
      <c r="D404" s="143"/>
      <c r="E404" s="143"/>
      <c r="F404" s="143"/>
    </row>
    <row r="405" spans="2:6" ht="15.75" customHeight="1" x14ac:dyDescent="0.45">
      <c r="B405" s="143"/>
      <c r="C405" s="427"/>
      <c r="D405" s="143"/>
      <c r="E405" s="143"/>
      <c r="F405" s="143"/>
    </row>
    <row r="406" spans="2:6" ht="15.75" customHeight="1" x14ac:dyDescent="0.45">
      <c r="B406" s="143"/>
      <c r="C406" s="427"/>
      <c r="D406" s="143"/>
      <c r="E406" s="143"/>
      <c r="F406" s="143"/>
    </row>
    <row r="407" spans="2:6" ht="15.75" customHeight="1" x14ac:dyDescent="0.45">
      <c r="B407" s="143"/>
      <c r="C407" s="427"/>
      <c r="D407" s="143"/>
      <c r="E407" s="143"/>
      <c r="F407" s="143"/>
    </row>
    <row r="408" spans="2:6" ht="15.75" customHeight="1" x14ac:dyDescent="0.45">
      <c r="B408" s="143"/>
      <c r="C408" s="427"/>
      <c r="D408" s="143"/>
      <c r="E408" s="143"/>
      <c r="F408" s="143"/>
    </row>
    <row r="409" spans="2:6" ht="15.75" customHeight="1" x14ac:dyDescent="0.45">
      <c r="B409" s="143"/>
      <c r="C409" s="427"/>
      <c r="D409" s="143"/>
      <c r="E409" s="143"/>
      <c r="F409" s="143"/>
    </row>
    <row r="410" spans="2:6" ht="15.75" customHeight="1" x14ac:dyDescent="0.45">
      <c r="B410" s="143"/>
      <c r="C410" s="427"/>
      <c r="D410" s="143"/>
      <c r="E410" s="143"/>
      <c r="F410" s="143"/>
    </row>
    <row r="411" spans="2:6" ht="15.75" customHeight="1" x14ac:dyDescent="0.45">
      <c r="B411" s="143"/>
      <c r="C411" s="427"/>
      <c r="D411" s="143"/>
      <c r="E411" s="143"/>
      <c r="F411" s="143"/>
    </row>
    <row r="412" spans="2:6" ht="15.75" customHeight="1" x14ac:dyDescent="0.45">
      <c r="B412" s="143"/>
      <c r="C412" s="427"/>
      <c r="D412" s="143"/>
      <c r="E412" s="143"/>
      <c r="F412" s="143"/>
    </row>
    <row r="413" spans="2:6" ht="15.75" customHeight="1" x14ac:dyDescent="0.45">
      <c r="B413" s="143"/>
      <c r="C413" s="427"/>
      <c r="D413" s="143"/>
      <c r="E413" s="143"/>
      <c r="F413" s="143"/>
    </row>
    <row r="414" spans="2:6" ht="15.75" customHeight="1" x14ac:dyDescent="0.45">
      <c r="B414" s="143"/>
      <c r="C414" s="427"/>
      <c r="D414" s="143"/>
      <c r="E414" s="143"/>
      <c r="F414" s="143"/>
    </row>
    <row r="415" spans="2:6" ht="15.75" customHeight="1" x14ac:dyDescent="0.45">
      <c r="B415" s="143"/>
      <c r="C415" s="427"/>
      <c r="D415" s="143"/>
      <c r="E415" s="143"/>
      <c r="F415" s="143"/>
    </row>
    <row r="416" spans="2:6" ht="15.75" customHeight="1" x14ac:dyDescent="0.45">
      <c r="B416" s="143"/>
      <c r="C416" s="427"/>
      <c r="D416" s="143"/>
      <c r="E416" s="143"/>
      <c r="F416" s="143"/>
    </row>
    <row r="417" spans="2:6" ht="15.75" customHeight="1" x14ac:dyDescent="0.45">
      <c r="B417" s="143"/>
      <c r="C417" s="427"/>
      <c r="D417" s="143"/>
      <c r="E417" s="143"/>
      <c r="F417" s="143"/>
    </row>
    <row r="418" spans="2:6" ht="15.75" customHeight="1" x14ac:dyDescent="0.45">
      <c r="B418" s="143"/>
      <c r="C418" s="427"/>
      <c r="D418" s="143"/>
      <c r="E418" s="143"/>
      <c r="F418" s="143"/>
    </row>
    <row r="419" spans="2:6" ht="15.75" customHeight="1" x14ac:dyDescent="0.45">
      <c r="B419" s="143"/>
      <c r="C419" s="427"/>
      <c r="D419" s="143"/>
      <c r="E419" s="143"/>
      <c r="F419" s="143"/>
    </row>
    <row r="420" spans="2:6" ht="15.75" customHeight="1" x14ac:dyDescent="0.45">
      <c r="B420" s="143"/>
      <c r="C420" s="427"/>
      <c r="D420" s="143"/>
      <c r="E420" s="143"/>
      <c r="F420" s="143"/>
    </row>
    <row r="421" spans="2:6" ht="15.75" customHeight="1" x14ac:dyDescent="0.45">
      <c r="B421" s="143"/>
      <c r="C421" s="427"/>
      <c r="D421" s="143"/>
      <c r="E421" s="143"/>
      <c r="F421" s="143"/>
    </row>
    <row r="422" spans="2:6" ht="15.75" customHeight="1" x14ac:dyDescent="0.45">
      <c r="B422" s="143"/>
      <c r="C422" s="427"/>
      <c r="D422" s="143"/>
      <c r="E422" s="143"/>
      <c r="F422" s="143"/>
    </row>
    <row r="423" spans="2:6" ht="15.75" customHeight="1" x14ac:dyDescent="0.45">
      <c r="B423" s="143"/>
      <c r="C423" s="427"/>
      <c r="D423" s="143"/>
      <c r="E423" s="143"/>
      <c r="F423" s="143"/>
    </row>
    <row r="424" spans="2:6" ht="15.75" customHeight="1" x14ac:dyDescent="0.45">
      <c r="B424" s="143"/>
      <c r="C424" s="427"/>
      <c r="D424" s="143"/>
      <c r="E424" s="143"/>
      <c r="F424" s="143"/>
    </row>
    <row r="425" spans="2:6" ht="15.75" customHeight="1" x14ac:dyDescent="0.45">
      <c r="B425" s="143"/>
      <c r="C425" s="427"/>
      <c r="D425" s="143"/>
      <c r="E425" s="143"/>
      <c r="F425" s="143"/>
    </row>
    <row r="426" spans="2:6" ht="15.75" customHeight="1" x14ac:dyDescent="0.45">
      <c r="B426" s="143"/>
      <c r="C426" s="427"/>
      <c r="D426" s="143"/>
      <c r="E426" s="143"/>
      <c r="F426" s="143"/>
    </row>
    <row r="427" spans="2:6" ht="15.75" customHeight="1" x14ac:dyDescent="0.45">
      <c r="B427" s="143"/>
      <c r="C427" s="427"/>
      <c r="D427" s="143"/>
      <c r="E427" s="143"/>
      <c r="F427" s="143"/>
    </row>
    <row r="428" spans="2:6" ht="15.75" customHeight="1" x14ac:dyDescent="0.45">
      <c r="B428" s="143"/>
      <c r="C428" s="427"/>
      <c r="D428" s="143"/>
      <c r="E428" s="143"/>
      <c r="F428" s="143"/>
    </row>
    <row r="429" spans="2:6" ht="15.75" customHeight="1" x14ac:dyDescent="0.45">
      <c r="B429" s="143"/>
      <c r="C429" s="427"/>
      <c r="D429" s="143"/>
      <c r="E429" s="143"/>
      <c r="F429" s="143"/>
    </row>
    <row r="430" spans="2:6" ht="15.75" customHeight="1" x14ac:dyDescent="0.45">
      <c r="B430" s="143"/>
      <c r="C430" s="427"/>
      <c r="D430" s="143"/>
      <c r="E430" s="143"/>
      <c r="F430" s="143"/>
    </row>
    <row r="431" spans="2:6" ht="15.75" customHeight="1" x14ac:dyDescent="0.45">
      <c r="B431" s="143"/>
      <c r="C431" s="427"/>
      <c r="D431" s="143"/>
      <c r="E431" s="143"/>
      <c r="F431" s="143"/>
    </row>
    <row r="432" spans="2:6" ht="15.75" customHeight="1" x14ac:dyDescent="0.45">
      <c r="B432" s="143"/>
      <c r="C432" s="427"/>
      <c r="D432" s="143"/>
      <c r="E432" s="143"/>
      <c r="F432" s="143"/>
    </row>
    <row r="433" spans="2:6" ht="15.75" customHeight="1" x14ac:dyDescent="0.45">
      <c r="B433" s="143"/>
      <c r="C433" s="427"/>
      <c r="D433" s="143"/>
      <c r="E433" s="143"/>
      <c r="F433" s="143"/>
    </row>
    <row r="434" spans="2:6" ht="15.75" customHeight="1" x14ac:dyDescent="0.45">
      <c r="B434" s="143"/>
      <c r="C434" s="427"/>
      <c r="D434" s="143"/>
      <c r="E434" s="143"/>
      <c r="F434" s="143"/>
    </row>
    <row r="435" spans="2:6" ht="15.75" customHeight="1" x14ac:dyDescent="0.45">
      <c r="B435" s="143"/>
      <c r="C435" s="427"/>
      <c r="D435" s="143"/>
      <c r="E435" s="143"/>
      <c r="F435" s="143"/>
    </row>
    <row r="436" spans="2:6" ht="15.75" customHeight="1" x14ac:dyDescent="0.45">
      <c r="B436" s="143"/>
      <c r="C436" s="427"/>
      <c r="D436" s="143"/>
      <c r="E436" s="143"/>
      <c r="F436" s="143"/>
    </row>
    <row r="437" spans="2:6" ht="15.75" customHeight="1" x14ac:dyDescent="0.45">
      <c r="B437" s="143"/>
      <c r="C437" s="427"/>
      <c r="D437" s="143"/>
      <c r="E437" s="143"/>
      <c r="F437" s="143"/>
    </row>
    <row r="438" spans="2:6" ht="15.75" customHeight="1" x14ac:dyDescent="0.45">
      <c r="B438" s="143"/>
      <c r="C438" s="427"/>
      <c r="D438" s="143"/>
      <c r="E438" s="143"/>
      <c r="F438" s="143"/>
    </row>
    <row r="439" spans="2:6" ht="15.75" customHeight="1" x14ac:dyDescent="0.45">
      <c r="B439" s="143"/>
      <c r="C439" s="427"/>
      <c r="D439" s="143"/>
      <c r="E439" s="143"/>
      <c r="F439" s="143"/>
    </row>
    <row r="440" spans="2:6" ht="15.75" customHeight="1" x14ac:dyDescent="0.45">
      <c r="B440" s="143"/>
      <c r="C440" s="427"/>
      <c r="D440" s="143"/>
      <c r="E440" s="143"/>
      <c r="F440" s="143"/>
    </row>
    <row r="441" spans="2:6" ht="15.75" customHeight="1" x14ac:dyDescent="0.45">
      <c r="B441" s="143"/>
      <c r="C441" s="427"/>
      <c r="D441" s="143"/>
      <c r="E441" s="143"/>
      <c r="F441" s="143"/>
    </row>
    <row r="442" spans="2:6" ht="15.75" customHeight="1" x14ac:dyDescent="0.45">
      <c r="B442" s="143"/>
      <c r="C442" s="427"/>
      <c r="D442" s="143"/>
      <c r="E442" s="143"/>
      <c r="F442" s="143"/>
    </row>
    <row r="443" spans="2:6" ht="15.75" customHeight="1" x14ac:dyDescent="0.45">
      <c r="B443" s="143"/>
      <c r="C443" s="427"/>
      <c r="D443" s="143"/>
      <c r="E443" s="143"/>
      <c r="F443" s="143"/>
    </row>
    <row r="444" spans="2:6" ht="15.75" customHeight="1" x14ac:dyDescent="0.45">
      <c r="B444" s="143"/>
      <c r="C444" s="427"/>
      <c r="D444" s="143"/>
      <c r="E444" s="143"/>
      <c r="F444" s="143"/>
    </row>
    <row r="445" spans="2:6" ht="15.75" customHeight="1" x14ac:dyDescent="0.45">
      <c r="B445" s="143"/>
      <c r="C445" s="427"/>
      <c r="D445" s="143"/>
      <c r="E445" s="143"/>
      <c r="F445" s="143"/>
    </row>
    <row r="446" spans="2:6" ht="15.75" customHeight="1" x14ac:dyDescent="0.45">
      <c r="B446" s="143"/>
      <c r="C446" s="427"/>
      <c r="D446" s="143"/>
      <c r="E446" s="143"/>
      <c r="F446" s="143"/>
    </row>
    <row r="447" spans="2:6" ht="15.75" customHeight="1" x14ac:dyDescent="0.45">
      <c r="B447" s="143"/>
      <c r="C447" s="427"/>
      <c r="D447" s="143"/>
      <c r="E447" s="143"/>
      <c r="F447" s="143"/>
    </row>
    <row r="448" spans="2:6" ht="15.75" customHeight="1" x14ac:dyDescent="0.45">
      <c r="B448" s="143"/>
      <c r="C448" s="427"/>
      <c r="D448" s="143"/>
      <c r="E448" s="143"/>
      <c r="F448" s="143"/>
    </row>
    <row r="449" spans="2:6" ht="15.75" customHeight="1" x14ac:dyDescent="0.45">
      <c r="B449" s="143"/>
      <c r="C449" s="427"/>
      <c r="D449" s="143"/>
      <c r="E449" s="143"/>
      <c r="F449" s="143"/>
    </row>
    <row r="450" spans="2:6" ht="15.75" customHeight="1" x14ac:dyDescent="0.45">
      <c r="B450" s="143"/>
      <c r="C450" s="427"/>
      <c r="D450" s="143"/>
      <c r="E450" s="143"/>
      <c r="F450" s="143"/>
    </row>
    <row r="451" spans="2:6" ht="15.75" customHeight="1" x14ac:dyDescent="0.45">
      <c r="B451" s="143"/>
      <c r="C451" s="427"/>
      <c r="D451" s="143"/>
      <c r="E451" s="143"/>
      <c r="F451" s="143"/>
    </row>
    <row r="452" spans="2:6" ht="15.75" customHeight="1" x14ac:dyDescent="0.45">
      <c r="B452" s="143"/>
      <c r="C452" s="427"/>
      <c r="D452" s="143"/>
      <c r="E452" s="143"/>
      <c r="F452" s="143"/>
    </row>
    <row r="453" spans="2:6" ht="15.75" customHeight="1" x14ac:dyDescent="0.45">
      <c r="B453" s="143"/>
      <c r="C453" s="427"/>
      <c r="D453" s="143"/>
      <c r="E453" s="143"/>
      <c r="F453" s="143"/>
    </row>
    <row r="454" spans="2:6" ht="15.75" customHeight="1" x14ac:dyDescent="0.45">
      <c r="B454" s="143"/>
      <c r="C454" s="427"/>
      <c r="D454" s="143"/>
      <c r="E454" s="143"/>
      <c r="F454" s="143"/>
    </row>
    <row r="455" spans="2:6" ht="15.75" customHeight="1" x14ac:dyDescent="0.45">
      <c r="B455" s="143"/>
      <c r="C455" s="427"/>
      <c r="D455" s="143"/>
      <c r="E455" s="143"/>
      <c r="F455" s="143"/>
    </row>
    <row r="456" spans="2:6" ht="15.75" customHeight="1" x14ac:dyDescent="0.45">
      <c r="B456" s="143"/>
      <c r="C456" s="427"/>
      <c r="D456" s="143"/>
      <c r="E456" s="143"/>
      <c r="F456" s="143"/>
    </row>
    <row r="457" spans="2:6" ht="15.75" customHeight="1" x14ac:dyDescent="0.45">
      <c r="B457" s="143"/>
      <c r="C457" s="427"/>
      <c r="D457" s="143"/>
      <c r="E457" s="143"/>
      <c r="F457" s="143"/>
    </row>
    <row r="458" spans="2:6" ht="15.75" customHeight="1" x14ac:dyDescent="0.45">
      <c r="B458" s="143"/>
      <c r="C458" s="427"/>
      <c r="D458" s="143"/>
      <c r="E458" s="143"/>
      <c r="F458" s="143"/>
    </row>
    <row r="459" spans="2:6" ht="15.75" customHeight="1" x14ac:dyDescent="0.45">
      <c r="B459" s="143"/>
      <c r="C459" s="427"/>
      <c r="D459" s="143"/>
      <c r="E459" s="143"/>
      <c r="F459" s="143"/>
    </row>
    <row r="460" spans="2:6" ht="15.75" customHeight="1" x14ac:dyDescent="0.45">
      <c r="B460" s="143"/>
      <c r="C460" s="427"/>
      <c r="D460" s="143"/>
      <c r="E460" s="143"/>
      <c r="F460" s="143"/>
    </row>
    <row r="461" spans="2:6" ht="15.75" customHeight="1" x14ac:dyDescent="0.45">
      <c r="B461" s="143"/>
      <c r="C461" s="427"/>
      <c r="D461" s="143"/>
      <c r="E461" s="143"/>
      <c r="F461" s="143"/>
    </row>
    <row r="462" spans="2:6" ht="15.75" customHeight="1" x14ac:dyDescent="0.45">
      <c r="B462" s="143"/>
      <c r="C462" s="427"/>
      <c r="D462" s="143"/>
      <c r="E462" s="143"/>
      <c r="F462" s="143"/>
    </row>
    <row r="463" spans="2:6" ht="15.75" customHeight="1" x14ac:dyDescent="0.45">
      <c r="B463" s="143"/>
      <c r="C463" s="427"/>
      <c r="D463" s="143"/>
      <c r="E463" s="143"/>
      <c r="F463" s="143"/>
    </row>
    <row r="464" spans="2:6" ht="15.75" customHeight="1" x14ac:dyDescent="0.45">
      <c r="B464" s="143"/>
      <c r="C464" s="427"/>
      <c r="D464" s="143"/>
      <c r="E464" s="143"/>
      <c r="F464" s="143"/>
    </row>
    <row r="465" spans="2:6" ht="15.75" customHeight="1" x14ac:dyDescent="0.45">
      <c r="B465" s="143"/>
      <c r="C465" s="427"/>
      <c r="D465" s="143"/>
      <c r="E465" s="143"/>
      <c r="F465" s="143"/>
    </row>
    <row r="466" spans="2:6" ht="15.75" customHeight="1" x14ac:dyDescent="0.45">
      <c r="B466" s="143"/>
      <c r="C466" s="427"/>
      <c r="D466" s="143"/>
      <c r="E466" s="143"/>
      <c r="F466" s="143"/>
    </row>
    <row r="467" spans="2:6" ht="15.75" customHeight="1" x14ac:dyDescent="0.45">
      <c r="B467" s="143"/>
      <c r="C467" s="427"/>
      <c r="D467" s="143"/>
      <c r="E467" s="143"/>
      <c r="F467" s="143"/>
    </row>
    <row r="468" spans="2:6" ht="15.75" customHeight="1" x14ac:dyDescent="0.45">
      <c r="B468" s="143"/>
      <c r="C468" s="427"/>
      <c r="D468" s="143"/>
      <c r="E468" s="143"/>
      <c r="F468" s="143"/>
    </row>
    <row r="469" spans="2:6" ht="15.75" customHeight="1" x14ac:dyDescent="0.45">
      <c r="B469" s="143"/>
      <c r="C469" s="427"/>
      <c r="D469" s="143"/>
      <c r="E469" s="143"/>
      <c r="F469" s="143"/>
    </row>
    <row r="470" spans="2:6" ht="15.75" customHeight="1" x14ac:dyDescent="0.45">
      <c r="B470" s="143"/>
      <c r="C470" s="427"/>
      <c r="D470" s="143"/>
      <c r="E470" s="143"/>
      <c r="F470" s="143"/>
    </row>
    <row r="471" spans="2:6" ht="15.75" customHeight="1" x14ac:dyDescent="0.45">
      <c r="B471" s="143"/>
      <c r="C471" s="427"/>
      <c r="D471" s="143"/>
      <c r="E471" s="143"/>
      <c r="F471" s="143"/>
    </row>
    <row r="472" spans="2:6" ht="15.75" customHeight="1" x14ac:dyDescent="0.45">
      <c r="B472" s="143"/>
      <c r="C472" s="427"/>
      <c r="D472" s="143"/>
      <c r="E472" s="143"/>
      <c r="F472" s="143"/>
    </row>
    <row r="473" spans="2:6" ht="15.75" customHeight="1" x14ac:dyDescent="0.45">
      <c r="B473" s="143"/>
      <c r="C473" s="427"/>
      <c r="D473" s="143"/>
      <c r="E473" s="143"/>
      <c r="F473" s="143"/>
    </row>
    <row r="474" spans="2:6" ht="15.75" customHeight="1" x14ac:dyDescent="0.45">
      <c r="B474" s="143"/>
      <c r="C474" s="427"/>
      <c r="D474" s="143"/>
      <c r="E474" s="143"/>
      <c r="F474" s="143"/>
    </row>
    <row r="475" spans="2:6" ht="15.75" customHeight="1" x14ac:dyDescent="0.45">
      <c r="B475" s="143"/>
      <c r="C475" s="427"/>
      <c r="D475" s="143"/>
      <c r="E475" s="143"/>
      <c r="F475" s="143"/>
    </row>
    <row r="476" spans="2:6" ht="15.75" customHeight="1" x14ac:dyDescent="0.45">
      <c r="B476" s="143"/>
      <c r="C476" s="427"/>
      <c r="D476" s="143"/>
      <c r="E476" s="143"/>
      <c r="F476" s="143"/>
    </row>
    <row r="477" spans="2:6" ht="15.75" customHeight="1" x14ac:dyDescent="0.45">
      <c r="B477" s="143"/>
      <c r="C477" s="427"/>
      <c r="D477" s="143"/>
      <c r="E477" s="143"/>
      <c r="F477" s="143"/>
    </row>
    <row r="478" spans="2:6" ht="15.75" customHeight="1" x14ac:dyDescent="0.45">
      <c r="B478" s="143"/>
      <c r="C478" s="427"/>
      <c r="D478" s="143"/>
      <c r="E478" s="143"/>
      <c r="F478" s="143"/>
    </row>
    <row r="479" spans="2:6" ht="15.75" customHeight="1" x14ac:dyDescent="0.45">
      <c r="B479" s="143"/>
      <c r="C479" s="427"/>
      <c r="D479" s="143"/>
      <c r="E479" s="143"/>
      <c r="F479" s="143"/>
    </row>
    <row r="480" spans="2:6" ht="15.75" customHeight="1" x14ac:dyDescent="0.45">
      <c r="B480" s="143"/>
      <c r="C480" s="427"/>
      <c r="D480" s="143"/>
      <c r="E480" s="143"/>
      <c r="F480" s="143"/>
    </row>
    <row r="481" spans="2:6" ht="15.75" customHeight="1" x14ac:dyDescent="0.45">
      <c r="B481" s="143"/>
      <c r="C481" s="427"/>
      <c r="D481" s="143"/>
      <c r="E481" s="143"/>
      <c r="F481" s="143"/>
    </row>
    <row r="482" spans="2:6" ht="15.75" customHeight="1" x14ac:dyDescent="0.45">
      <c r="B482" s="143"/>
      <c r="C482" s="427"/>
      <c r="D482" s="143"/>
      <c r="E482" s="143"/>
      <c r="F482" s="143"/>
    </row>
    <row r="483" spans="2:6" ht="15.75" customHeight="1" x14ac:dyDescent="0.45">
      <c r="B483" s="143"/>
      <c r="C483" s="427"/>
      <c r="D483" s="143"/>
      <c r="E483" s="143"/>
      <c r="F483" s="143"/>
    </row>
    <row r="484" spans="2:6" ht="15.75" customHeight="1" x14ac:dyDescent="0.45">
      <c r="B484" s="143"/>
      <c r="C484" s="427"/>
      <c r="D484" s="143"/>
      <c r="E484" s="143"/>
      <c r="F484" s="143"/>
    </row>
    <row r="485" spans="2:6" ht="15.75" customHeight="1" x14ac:dyDescent="0.45">
      <c r="B485" s="143"/>
      <c r="C485" s="427"/>
      <c r="D485" s="143"/>
      <c r="E485" s="143"/>
      <c r="F485" s="143"/>
    </row>
    <row r="486" spans="2:6" ht="15.75" customHeight="1" x14ac:dyDescent="0.45">
      <c r="B486" s="143"/>
      <c r="C486" s="427"/>
      <c r="D486" s="143"/>
      <c r="E486" s="143"/>
      <c r="F486" s="143"/>
    </row>
    <row r="487" spans="2:6" ht="15.75" customHeight="1" x14ac:dyDescent="0.45">
      <c r="B487" s="143"/>
      <c r="C487" s="427"/>
      <c r="D487" s="143"/>
      <c r="E487" s="143"/>
      <c r="F487" s="143"/>
    </row>
    <row r="488" spans="2:6" ht="15.75" customHeight="1" x14ac:dyDescent="0.45">
      <c r="B488" s="143"/>
      <c r="C488" s="427"/>
      <c r="D488" s="143"/>
      <c r="E488" s="143"/>
      <c r="F488" s="143"/>
    </row>
    <row r="489" spans="2:6" ht="15.75" customHeight="1" x14ac:dyDescent="0.45">
      <c r="B489" s="143"/>
      <c r="C489" s="427"/>
      <c r="D489" s="143"/>
      <c r="E489" s="143"/>
      <c r="F489" s="143"/>
    </row>
    <row r="490" spans="2:6" ht="15.75" customHeight="1" x14ac:dyDescent="0.45">
      <c r="B490" s="143"/>
      <c r="C490" s="427"/>
      <c r="D490" s="143"/>
      <c r="E490" s="143"/>
      <c r="F490" s="143"/>
    </row>
    <row r="491" spans="2:6" ht="15.75" customHeight="1" x14ac:dyDescent="0.45">
      <c r="B491" s="143"/>
      <c r="C491" s="427"/>
      <c r="D491" s="143"/>
      <c r="E491" s="143"/>
      <c r="F491" s="143"/>
    </row>
    <row r="492" spans="2:6" ht="15.75" customHeight="1" x14ac:dyDescent="0.45">
      <c r="B492" s="143"/>
      <c r="C492" s="427"/>
      <c r="D492" s="143"/>
      <c r="E492" s="143"/>
      <c r="F492" s="143"/>
    </row>
    <row r="493" spans="2:6" ht="15.75" customHeight="1" x14ac:dyDescent="0.45">
      <c r="B493" s="143"/>
      <c r="C493" s="427"/>
      <c r="D493" s="143"/>
      <c r="E493" s="143"/>
      <c r="F493" s="143"/>
    </row>
    <row r="494" spans="2:6" ht="15.75" customHeight="1" x14ac:dyDescent="0.45">
      <c r="B494" s="143"/>
      <c r="C494" s="427"/>
      <c r="D494" s="143"/>
      <c r="E494" s="143"/>
      <c r="F494" s="143"/>
    </row>
    <row r="495" spans="2:6" ht="15.75" customHeight="1" x14ac:dyDescent="0.45">
      <c r="B495" s="143"/>
      <c r="C495" s="427"/>
      <c r="D495" s="143"/>
      <c r="E495" s="143"/>
      <c r="F495" s="143"/>
    </row>
    <row r="496" spans="2:6" ht="15.75" customHeight="1" x14ac:dyDescent="0.45">
      <c r="B496" s="143"/>
      <c r="C496" s="427"/>
      <c r="D496" s="143"/>
      <c r="E496" s="143"/>
      <c r="F496" s="143"/>
    </row>
    <row r="497" spans="2:6" ht="15.75" customHeight="1" x14ac:dyDescent="0.45">
      <c r="B497" s="143"/>
      <c r="C497" s="427"/>
      <c r="D497" s="143"/>
      <c r="E497" s="143"/>
      <c r="F497" s="143"/>
    </row>
    <row r="498" spans="2:6" ht="15.75" customHeight="1" x14ac:dyDescent="0.45">
      <c r="B498" s="143"/>
      <c r="C498" s="427"/>
      <c r="D498" s="143"/>
      <c r="E498" s="143"/>
      <c r="F498" s="143"/>
    </row>
    <row r="499" spans="2:6" ht="15.75" customHeight="1" x14ac:dyDescent="0.45">
      <c r="B499" s="143"/>
      <c r="C499" s="427"/>
      <c r="D499" s="143"/>
      <c r="E499" s="143"/>
      <c r="F499" s="143"/>
    </row>
    <row r="500" spans="2:6" ht="15.75" customHeight="1" x14ac:dyDescent="0.45">
      <c r="B500" s="143"/>
      <c r="C500" s="427"/>
      <c r="D500" s="143"/>
      <c r="E500" s="143"/>
      <c r="F500" s="143"/>
    </row>
    <row r="501" spans="2:6" ht="15.75" customHeight="1" x14ac:dyDescent="0.45">
      <c r="B501" s="143"/>
      <c r="C501" s="427"/>
      <c r="D501" s="143"/>
      <c r="E501" s="143"/>
      <c r="F501" s="143"/>
    </row>
    <row r="502" spans="2:6" ht="15.75" customHeight="1" x14ac:dyDescent="0.45">
      <c r="B502" s="143"/>
      <c r="C502" s="427"/>
      <c r="D502" s="143"/>
      <c r="E502" s="143"/>
      <c r="F502" s="143"/>
    </row>
    <row r="503" spans="2:6" ht="15.75" customHeight="1" x14ac:dyDescent="0.45">
      <c r="B503" s="143"/>
      <c r="C503" s="427"/>
      <c r="D503" s="143"/>
      <c r="E503" s="143"/>
      <c r="F503" s="143"/>
    </row>
    <row r="504" spans="2:6" ht="15.75" customHeight="1" x14ac:dyDescent="0.45">
      <c r="B504" s="143"/>
      <c r="C504" s="427"/>
      <c r="D504" s="143"/>
      <c r="E504" s="143"/>
      <c r="F504" s="143"/>
    </row>
    <row r="505" spans="2:6" ht="15.75" customHeight="1" x14ac:dyDescent="0.45">
      <c r="B505" s="143"/>
      <c r="C505" s="427"/>
      <c r="D505" s="143"/>
      <c r="E505" s="143"/>
      <c r="F505" s="143"/>
    </row>
    <row r="506" spans="2:6" ht="15.75" customHeight="1" x14ac:dyDescent="0.45">
      <c r="B506" s="143"/>
      <c r="C506" s="427"/>
      <c r="D506" s="143"/>
      <c r="E506" s="143"/>
      <c r="F506" s="143"/>
    </row>
    <row r="507" spans="2:6" ht="15.75" customHeight="1" x14ac:dyDescent="0.45">
      <c r="B507" s="143"/>
      <c r="C507" s="427"/>
      <c r="D507" s="143"/>
      <c r="E507" s="143"/>
      <c r="F507" s="143"/>
    </row>
    <row r="508" spans="2:6" ht="15.75" customHeight="1" x14ac:dyDescent="0.45">
      <c r="B508" s="143"/>
      <c r="C508" s="427"/>
      <c r="D508" s="143"/>
      <c r="E508" s="143"/>
      <c r="F508" s="143"/>
    </row>
    <row r="509" spans="2:6" ht="15.75" customHeight="1" x14ac:dyDescent="0.45">
      <c r="B509" s="143"/>
      <c r="C509" s="427"/>
      <c r="D509" s="143"/>
      <c r="E509" s="143"/>
      <c r="F509" s="143"/>
    </row>
    <row r="510" spans="2:6" ht="15.75" customHeight="1" x14ac:dyDescent="0.45">
      <c r="B510" s="143"/>
      <c r="C510" s="427"/>
      <c r="D510" s="143"/>
      <c r="E510" s="143"/>
      <c r="F510" s="143"/>
    </row>
    <row r="511" spans="2:6" ht="15.75" customHeight="1" x14ac:dyDescent="0.45">
      <c r="B511" s="143"/>
      <c r="C511" s="427"/>
      <c r="D511" s="143"/>
      <c r="E511" s="143"/>
      <c r="F511" s="143"/>
    </row>
    <row r="512" spans="2:6" ht="15.75" customHeight="1" x14ac:dyDescent="0.45">
      <c r="B512" s="143"/>
      <c r="C512" s="427"/>
      <c r="D512" s="143"/>
      <c r="E512" s="143"/>
      <c r="F512" s="143"/>
    </row>
    <row r="513" spans="2:6" ht="15.75" customHeight="1" x14ac:dyDescent="0.45">
      <c r="B513" s="143"/>
      <c r="C513" s="427"/>
      <c r="D513" s="143"/>
      <c r="E513" s="143"/>
      <c r="F513" s="143"/>
    </row>
    <row r="514" spans="2:6" ht="15.75" customHeight="1" x14ac:dyDescent="0.45">
      <c r="B514" s="143"/>
      <c r="C514" s="427"/>
      <c r="D514" s="143"/>
      <c r="E514" s="143"/>
      <c r="F514" s="143"/>
    </row>
    <row r="515" spans="2:6" ht="15.75" customHeight="1" x14ac:dyDescent="0.45">
      <c r="B515" s="143"/>
      <c r="C515" s="427"/>
      <c r="D515" s="143"/>
      <c r="E515" s="143"/>
      <c r="F515" s="143"/>
    </row>
    <row r="516" spans="2:6" ht="15.75" customHeight="1" x14ac:dyDescent="0.45">
      <c r="B516" s="143"/>
      <c r="C516" s="427"/>
      <c r="D516" s="143"/>
      <c r="E516" s="143"/>
      <c r="F516" s="143"/>
    </row>
    <row r="517" spans="2:6" ht="15.75" customHeight="1" x14ac:dyDescent="0.45">
      <c r="B517" s="143"/>
      <c r="C517" s="427"/>
      <c r="D517" s="143"/>
      <c r="E517" s="143"/>
      <c r="F517" s="143"/>
    </row>
    <row r="518" spans="2:6" ht="15.75" customHeight="1" x14ac:dyDescent="0.45">
      <c r="B518" s="143"/>
      <c r="C518" s="427"/>
      <c r="D518" s="143"/>
      <c r="E518" s="143"/>
      <c r="F518" s="143"/>
    </row>
    <row r="519" spans="2:6" ht="15.75" customHeight="1" x14ac:dyDescent="0.45">
      <c r="B519" s="143"/>
      <c r="C519" s="427"/>
      <c r="D519" s="143"/>
      <c r="E519" s="143"/>
      <c r="F519" s="143"/>
    </row>
    <row r="520" spans="2:6" ht="15.75" customHeight="1" x14ac:dyDescent="0.45">
      <c r="B520" s="143"/>
      <c r="C520" s="427"/>
      <c r="D520" s="143"/>
      <c r="E520" s="143"/>
      <c r="F520" s="143"/>
    </row>
    <row r="521" spans="2:6" ht="15.75" customHeight="1" x14ac:dyDescent="0.45">
      <c r="B521" s="143"/>
      <c r="C521" s="427"/>
      <c r="D521" s="143"/>
      <c r="E521" s="143"/>
      <c r="F521" s="143"/>
    </row>
    <row r="522" spans="2:6" ht="15.75" customHeight="1" x14ac:dyDescent="0.45">
      <c r="B522" s="143"/>
      <c r="C522" s="427"/>
      <c r="D522" s="143"/>
      <c r="E522" s="143"/>
      <c r="F522" s="143"/>
    </row>
    <row r="523" spans="2:6" ht="15.75" customHeight="1" x14ac:dyDescent="0.45">
      <c r="B523" s="143"/>
      <c r="C523" s="427"/>
      <c r="D523" s="143"/>
      <c r="E523" s="143"/>
      <c r="F523" s="143"/>
    </row>
    <row r="524" spans="2:6" ht="15.75" customHeight="1" x14ac:dyDescent="0.45">
      <c r="B524" s="143"/>
      <c r="C524" s="427"/>
      <c r="D524" s="143"/>
      <c r="E524" s="143"/>
      <c r="F524" s="143"/>
    </row>
    <row r="525" spans="2:6" ht="15.75" customHeight="1" x14ac:dyDescent="0.45">
      <c r="B525" s="143"/>
      <c r="C525" s="427"/>
      <c r="D525" s="143"/>
      <c r="E525" s="143"/>
      <c r="F525" s="143"/>
    </row>
    <row r="526" spans="2:6" ht="15.75" customHeight="1" x14ac:dyDescent="0.45">
      <c r="B526" s="143"/>
      <c r="C526" s="427"/>
      <c r="D526" s="143"/>
      <c r="E526" s="143"/>
      <c r="F526" s="143"/>
    </row>
    <row r="527" spans="2:6" ht="15.75" customHeight="1" x14ac:dyDescent="0.45">
      <c r="B527" s="143"/>
      <c r="C527" s="427"/>
      <c r="D527" s="143"/>
      <c r="E527" s="143"/>
      <c r="F527" s="143"/>
    </row>
    <row r="528" spans="2:6" ht="15.75" customHeight="1" x14ac:dyDescent="0.45">
      <c r="B528" s="143"/>
      <c r="C528" s="427"/>
      <c r="D528" s="143"/>
      <c r="E528" s="143"/>
      <c r="F528" s="143"/>
    </row>
    <row r="529" spans="2:6" ht="15.75" customHeight="1" x14ac:dyDescent="0.45">
      <c r="B529" s="143"/>
      <c r="C529" s="427"/>
      <c r="D529" s="143"/>
      <c r="E529" s="143"/>
      <c r="F529" s="143"/>
    </row>
    <row r="530" spans="2:6" ht="15.75" customHeight="1" x14ac:dyDescent="0.45">
      <c r="B530" s="143"/>
      <c r="C530" s="427"/>
      <c r="D530" s="143"/>
      <c r="E530" s="143"/>
      <c r="F530" s="143"/>
    </row>
    <row r="531" spans="2:6" ht="15.75" customHeight="1" x14ac:dyDescent="0.45">
      <c r="B531" s="143"/>
      <c r="C531" s="427"/>
      <c r="D531" s="143"/>
      <c r="E531" s="143"/>
      <c r="F531" s="143"/>
    </row>
    <row r="532" spans="2:6" ht="15.75" customHeight="1" x14ac:dyDescent="0.45">
      <c r="B532" s="143"/>
      <c r="C532" s="427"/>
      <c r="D532" s="143"/>
      <c r="E532" s="143"/>
      <c r="F532" s="143"/>
    </row>
    <row r="533" spans="2:6" ht="15.75" customHeight="1" x14ac:dyDescent="0.45">
      <c r="B533" s="143"/>
      <c r="C533" s="427"/>
      <c r="D533" s="143"/>
      <c r="E533" s="143"/>
      <c r="F533" s="143"/>
    </row>
    <row r="534" spans="2:6" ht="15.75" customHeight="1" x14ac:dyDescent="0.45">
      <c r="B534" s="143"/>
      <c r="C534" s="427"/>
      <c r="D534" s="143"/>
      <c r="E534" s="143"/>
      <c r="F534" s="143"/>
    </row>
    <row r="535" spans="2:6" ht="15.75" customHeight="1" x14ac:dyDescent="0.45">
      <c r="B535" s="143"/>
      <c r="C535" s="427"/>
      <c r="D535" s="143"/>
      <c r="E535" s="143"/>
      <c r="F535" s="143"/>
    </row>
    <row r="536" spans="2:6" ht="15.75" customHeight="1" x14ac:dyDescent="0.45">
      <c r="B536" s="143"/>
      <c r="C536" s="427"/>
      <c r="D536" s="143"/>
      <c r="E536" s="143"/>
      <c r="F536" s="143"/>
    </row>
    <row r="537" spans="2:6" ht="15.75" customHeight="1" x14ac:dyDescent="0.45">
      <c r="B537" s="143"/>
      <c r="C537" s="427"/>
      <c r="D537" s="143"/>
      <c r="E537" s="143"/>
      <c r="F537" s="143"/>
    </row>
    <row r="538" spans="2:6" ht="15.75" customHeight="1" x14ac:dyDescent="0.45">
      <c r="B538" s="143"/>
      <c r="C538" s="427"/>
      <c r="D538" s="143"/>
      <c r="E538" s="143"/>
      <c r="F538" s="143"/>
    </row>
    <row r="539" spans="2:6" ht="15.75" customHeight="1" x14ac:dyDescent="0.45">
      <c r="B539" s="143"/>
      <c r="C539" s="427"/>
      <c r="D539" s="143"/>
      <c r="E539" s="143"/>
      <c r="F539" s="143"/>
    </row>
    <row r="540" spans="2:6" ht="15.75" customHeight="1" x14ac:dyDescent="0.45">
      <c r="B540" s="143"/>
      <c r="C540" s="427"/>
      <c r="D540" s="143"/>
      <c r="E540" s="143"/>
      <c r="F540" s="143"/>
    </row>
    <row r="541" spans="2:6" ht="15.75" customHeight="1" x14ac:dyDescent="0.45">
      <c r="B541" s="143"/>
      <c r="C541" s="427"/>
      <c r="D541" s="143"/>
      <c r="E541" s="143"/>
      <c r="F541" s="143"/>
    </row>
    <row r="542" spans="2:6" ht="15.75" customHeight="1" x14ac:dyDescent="0.45">
      <c r="B542" s="143"/>
      <c r="C542" s="427"/>
      <c r="D542" s="143"/>
      <c r="E542" s="143"/>
      <c r="F542" s="143"/>
    </row>
    <row r="543" spans="2:6" ht="15.75" customHeight="1" x14ac:dyDescent="0.45">
      <c r="B543" s="143"/>
      <c r="C543" s="427"/>
      <c r="D543" s="143"/>
      <c r="E543" s="143"/>
      <c r="F543" s="143"/>
    </row>
    <row r="544" spans="2:6" ht="15.75" customHeight="1" x14ac:dyDescent="0.45">
      <c r="B544" s="143"/>
      <c r="C544" s="427"/>
      <c r="D544" s="143"/>
      <c r="E544" s="143"/>
      <c r="F544" s="143"/>
    </row>
    <row r="545" spans="2:6" ht="15.75" customHeight="1" x14ac:dyDescent="0.45">
      <c r="B545" s="143"/>
      <c r="C545" s="427"/>
      <c r="D545" s="143"/>
      <c r="E545" s="143"/>
      <c r="F545" s="143"/>
    </row>
    <row r="546" spans="2:6" ht="15.75" customHeight="1" x14ac:dyDescent="0.45">
      <c r="B546" s="143"/>
      <c r="C546" s="427"/>
      <c r="D546" s="143"/>
      <c r="E546" s="143"/>
      <c r="F546" s="143"/>
    </row>
    <row r="547" spans="2:6" ht="15.75" customHeight="1" x14ac:dyDescent="0.45">
      <c r="B547" s="143"/>
      <c r="C547" s="427"/>
      <c r="D547" s="143"/>
      <c r="E547" s="143"/>
      <c r="F547" s="143"/>
    </row>
    <row r="548" spans="2:6" ht="15.75" customHeight="1" x14ac:dyDescent="0.45">
      <c r="B548" s="143"/>
      <c r="C548" s="427"/>
      <c r="D548" s="143"/>
      <c r="E548" s="143"/>
      <c r="F548" s="143"/>
    </row>
    <row r="549" spans="2:6" ht="15.75" customHeight="1" x14ac:dyDescent="0.45">
      <c r="B549" s="143"/>
      <c r="C549" s="427"/>
      <c r="D549" s="143"/>
      <c r="E549" s="143"/>
      <c r="F549" s="143"/>
    </row>
    <row r="550" spans="2:6" ht="15.75" customHeight="1" x14ac:dyDescent="0.45">
      <c r="B550" s="143"/>
      <c r="C550" s="427"/>
      <c r="D550" s="143"/>
      <c r="E550" s="143"/>
      <c r="F550" s="143"/>
    </row>
    <row r="551" spans="2:6" ht="15.75" customHeight="1" x14ac:dyDescent="0.45">
      <c r="B551" s="143"/>
      <c r="C551" s="427"/>
      <c r="D551" s="143"/>
      <c r="E551" s="143"/>
      <c r="F551" s="143"/>
    </row>
    <row r="552" spans="2:6" ht="15.75" customHeight="1" x14ac:dyDescent="0.45">
      <c r="B552" s="143"/>
      <c r="C552" s="427"/>
      <c r="D552" s="143"/>
      <c r="E552" s="143"/>
      <c r="F552" s="143"/>
    </row>
    <row r="553" spans="2:6" ht="15.75" customHeight="1" x14ac:dyDescent="0.45">
      <c r="B553" s="143"/>
      <c r="C553" s="427"/>
      <c r="D553" s="143"/>
      <c r="E553" s="143"/>
      <c r="F553" s="143"/>
    </row>
    <row r="554" spans="2:6" ht="15.75" customHeight="1" x14ac:dyDescent="0.45">
      <c r="B554" s="143"/>
      <c r="C554" s="427"/>
      <c r="D554" s="143"/>
      <c r="E554" s="143"/>
      <c r="F554" s="143"/>
    </row>
    <row r="555" spans="2:6" ht="15.75" customHeight="1" x14ac:dyDescent="0.45">
      <c r="B555" s="143"/>
      <c r="C555" s="427"/>
      <c r="D555" s="143"/>
      <c r="E555" s="143"/>
      <c r="F555" s="143"/>
    </row>
    <row r="556" spans="2:6" ht="15.75" customHeight="1" x14ac:dyDescent="0.45">
      <c r="B556" s="143"/>
      <c r="C556" s="427"/>
      <c r="D556" s="143"/>
      <c r="E556" s="143"/>
      <c r="F556" s="143"/>
    </row>
    <row r="557" spans="2:6" ht="15.75" customHeight="1" x14ac:dyDescent="0.45">
      <c r="B557" s="143"/>
      <c r="C557" s="427"/>
      <c r="D557" s="143"/>
      <c r="E557" s="143"/>
      <c r="F557" s="143"/>
    </row>
    <row r="558" spans="2:6" ht="15.75" customHeight="1" x14ac:dyDescent="0.45">
      <c r="B558" s="143"/>
      <c r="C558" s="427"/>
      <c r="D558" s="143"/>
      <c r="E558" s="143"/>
      <c r="F558" s="143"/>
    </row>
    <row r="559" spans="2:6" ht="15.75" customHeight="1" x14ac:dyDescent="0.45">
      <c r="B559" s="143"/>
      <c r="C559" s="427"/>
      <c r="D559" s="143"/>
      <c r="E559" s="143"/>
      <c r="F559" s="143"/>
    </row>
    <row r="560" spans="2:6" ht="15.75" customHeight="1" x14ac:dyDescent="0.45">
      <c r="B560" s="143"/>
      <c r="C560" s="427"/>
      <c r="D560" s="143"/>
      <c r="E560" s="143"/>
      <c r="F560" s="143"/>
    </row>
    <row r="561" spans="2:6" ht="15.75" customHeight="1" x14ac:dyDescent="0.45">
      <c r="B561" s="143"/>
      <c r="C561" s="427"/>
      <c r="D561" s="143"/>
      <c r="E561" s="143"/>
      <c r="F561" s="143"/>
    </row>
    <row r="562" spans="2:6" ht="15.75" customHeight="1" x14ac:dyDescent="0.45">
      <c r="B562" s="143"/>
      <c r="C562" s="427"/>
      <c r="D562" s="143"/>
      <c r="E562" s="143"/>
      <c r="F562" s="143"/>
    </row>
    <row r="563" spans="2:6" ht="15.75" customHeight="1" x14ac:dyDescent="0.45">
      <c r="B563" s="143"/>
      <c r="C563" s="427"/>
      <c r="D563" s="143"/>
      <c r="E563" s="143"/>
      <c r="F563" s="143"/>
    </row>
    <row r="564" spans="2:6" ht="15.75" customHeight="1" x14ac:dyDescent="0.45">
      <c r="B564" s="143"/>
      <c r="C564" s="427"/>
      <c r="D564" s="143"/>
      <c r="E564" s="143"/>
      <c r="F564" s="143"/>
    </row>
    <row r="565" spans="2:6" ht="15.75" customHeight="1" x14ac:dyDescent="0.45">
      <c r="B565" s="143"/>
      <c r="C565" s="427"/>
      <c r="D565" s="143"/>
      <c r="E565" s="143"/>
      <c r="F565" s="143"/>
    </row>
    <row r="566" spans="2:6" ht="15.75" customHeight="1" x14ac:dyDescent="0.45">
      <c r="B566" s="143"/>
      <c r="C566" s="427"/>
      <c r="D566" s="143"/>
      <c r="E566" s="143"/>
      <c r="F566" s="143"/>
    </row>
    <row r="567" spans="2:6" ht="15.75" customHeight="1" x14ac:dyDescent="0.45">
      <c r="B567" s="143"/>
      <c r="C567" s="427"/>
      <c r="D567" s="143"/>
      <c r="E567" s="143"/>
      <c r="F567" s="143"/>
    </row>
    <row r="568" spans="2:6" ht="15.75" customHeight="1" x14ac:dyDescent="0.45">
      <c r="B568" s="143"/>
      <c r="C568" s="427"/>
      <c r="D568" s="143"/>
      <c r="E568" s="143"/>
      <c r="F568" s="143"/>
    </row>
    <row r="569" spans="2:6" ht="15.75" customHeight="1" x14ac:dyDescent="0.45">
      <c r="B569" s="143"/>
      <c r="C569" s="427"/>
      <c r="D569" s="143"/>
      <c r="E569" s="143"/>
      <c r="F569" s="143"/>
    </row>
    <row r="570" spans="2:6" ht="15.75" customHeight="1" x14ac:dyDescent="0.45">
      <c r="B570" s="143"/>
      <c r="C570" s="427"/>
      <c r="D570" s="143"/>
      <c r="E570" s="143"/>
      <c r="F570" s="143"/>
    </row>
    <row r="571" spans="2:6" ht="15.75" customHeight="1" x14ac:dyDescent="0.45">
      <c r="B571" s="143"/>
      <c r="C571" s="427"/>
      <c r="D571" s="143"/>
      <c r="E571" s="143"/>
      <c r="F571" s="143"/>
    </row>
    <row r="572" spans="2:6" ht="15.75" customHeight="1" x14ac:dyDescent="0.45">
      <c r="B572" s="143"/>
      <c r="C572" s="427"/>
      <c r="D572" s="143"/>
      <c r="E572" s="143"/>
      <c r="F572" s="143"/>
    </row>
    <row r="573" spans="2:6" ht="15.75" customHeight="1" x14ac:dyDescent="0.45">
      <c r="B573" s="143"/>
      <c r="C573" s="427"/>
      <c r="D573" s="143"/>
      <c r="E573" s="143"/>
      <c r="F573" s="143"/>
    </row>
    <row r="574" spans="2:6" ht="15.75" customHeight="1" x14ac:dyDescent="0.45">
      <c r="B574" s="143"/>
      <c r="C574" s="427"/>
      <c r="D574" s="143"/>
      <c r="E574" s="143"/>
      <c r="F574" s="143"/>
    </row>
    <row r="575" spans="2:6" ht="15.75" customHeight="1" x14ac:dyDescent="0.45">
      <c r="B575" s="143"/>
      <c r="C575" s="427"/>
      <c r="D575" s="143"/>
      <c r="E575" s="143"/>
      <c r="F575" s="143"/>
    </row>
    <row r="576" spans="2:6" ht="15.75" customHeight="1" x14ac:dyDescent="0.45">
      <c r="B576" s="143"/>
      <c r="C576" s="427"/>
      <c r="D576" s="143"/>
      <c r="E576" s="143"/>
      <c r="F576" s="143"/>
    </row>
    <row r="577" spans="2:6" ht="15.75" customHeight="1" x14ac:dyDescent="0.45">
      <c r="B577" s="143"/>
      <c r="C577" s="427"/>
      <c r="D577" s="143"/>
      <c r="E577" s="143"/>
      <c r="F577" s="143"/>
    </row>
    <row r="578" spans="2:6" ht="15.75" customHeight="1" x14ac:dyDescent="0.45">
      <c r="B578" s="143"/>
      <c r="C578" s="427"/>
      <c r="D578" s="143"/>
      <c r="E578" s="143"/>
      <c r="F578" s="143"/>
    </row>
    <row r="579" spans="2:6" ht="15.75" customHeight="1" x14ac:dyDescent="0.45">
      <c r="B579" s="143"/>
      <c r="C579" s="427"/>
      <c r="D579" s="143"/>
      <c r="E579" s="143"/>
      <c r="F579" s="143"/>
    </row>
    <row r="580" spans="2:6" ht="15.75" customHeight="1" x14ac:dyDescent="0.45">
      <c r="B580" s="143"/>
      <c r="C580" s="427"/>
      <c r="D580" s="143"/>
      <c r="E580" s="143"/>
      <c r="F580" s="143"/>
    </row>
    <row r="581" spans="2:6" ht="15.75" customHeight="1" x14ac:dyDescent="0.45">
      <c r="B581" s="143"/>
      <c r="C581" s="427"/>
      <c r="D581" s="143"/>
      <c r="E581" s="143"/>
      <c r="F581" s="143"/>
    </row>
    <row r="582" spans="2:6" ht="15.75" customHeight="1" x14ac:dyDescent="0.45">
      <c r="B582" s="143"/>
      <c r="C582" s="427"/>
      <c r="D582" s="143"/>
      <c r="E582" s="143"/>
      <c r="F582" s="143"/>
    </row>
    <row r="583" spans="2:6" ht="15.75" customHeight="1" x14ac:dyDescent="0.45">
      <c r="B583" s="143"/>
      <c r="C583" s="427"/>
      <c r="D583" s="143"/>
      <c r="E583" s="143"/>
      <c r="F583" s="143"/>
    </row>
    <row r="584" spans="2:6" ht="15.75" customHeight="1" x14ac:dyDescent="0.45">
      <c r="B584" s="143"/>
      <c r="C584" s="427"/>
      <c r="D584" s="143"/>
      <c r="E584" s="143"/>
      <c r="F584" s="143"/>
    </row>
    <row r="585" spans="2:6" ht="15.75" customHeight="1" x14ac:dyDescent="0.45">
      <c r="B585" s="143"/>
      <c r="C585" s="427"/>
      <c r="D585" s="143"/>
      <c r="E585" s="143"/>
      <c r="F585" s="143"/>
    </row>
    <row r="586" spans="2:6" ht="15.75" customHeight="1" x14ac:dyDescent="0.45">
      <c r="B586" s="143"/>
      <c r="C586" s="427"/>
      <c r="D586" s="143"/>
      <c r="E586" s="143"/>
      <c r="F586" s="143"/>
    </row>
    <row r="587" spans="2:6" ht="15.75" customHeight="1" x14ac:dyDescent="0.45">
      <c r="B587" s="143"/>
      <c r="C587" s="427"/>
      <c r="D587" s="143"/>
      <c r="E587" s="143"/>
      <c r="F587" s="143"/>
    </row>
    <row r="588" spans="2:6" ht="15.75" customHeight="1" x14ac:dyDescent="0.45">
      <c r="B588" s="143"/>
      <c r="C588" s="427"/>
      <c r="D588" s="143"/>
      <c r="E588" s="143"/>
      <c r="F588" s="143"/>
    </row>
    <row r="589" spans="2:6" ht="15.75" customHeight="1" x14ac:dyDescent="0.45">
      <c r="B589" s="143"/>
      <c r="C589" s="427"/>
      <c r="D589" s="143"/>
      <c r="E589" s="143"/>
      <c r="F589" s="143"/>
    </row>
    <row r="590" spans="2:6" ht="15.75" customHeight="1" x14ac:dyDescent="0.45">
      <c r="B590" s="143"/>
      <c r="C590" s="427"/>
      <c r="D590" s="143"/>
      <c r="E590" s="143"/>
      <c r="F590" s="143"/>
    </row>
    <row r="591" spans="2:6" ht="15.75" customHeight="1" x14ac:dyDescent="0.45">
      <c r="B591" s="143"/>
      <c r="C591" s="427"/>
      <c r="D591" s="143"/>
      <c r="E591" s="143"/>
      <c r="F591" s="143"/>
    </row>
    <row r="592" spans="2:6" ht="15.75" customHeight="1" x14ac:dyDescent="0.45">
      <c r="B592" s="143"/>
      <c r="C592" s="427"/>
      <c r="D592" s="143"/>
      <c r="E592" s="143"/>
      <c r="F592" s="143"/>
    </row>
    <row r="593" spans="2:6" ht="15.75" customHeight="1" x14ac:dyDescent="0.45">
      <c r="B593" s="143"/>
      <c r="C593" s="427"/>
      <c r="D593" s="143"/>
      <c r="E593" s="143"/>
      <c r="F593" s="143"/>
    </row>
    <row r="594" spans="2:6" ht="15.75" customHeight="1" x14ac:dyDescent="0.45">
      <c r="B594" s="143"/>
      <c r="C594" s="427"/>
      <c r="D594" s="143"/>
      <c r="E594" s="143"/>
      <c r="F594" s="143"/>
    </row>
    <row r="595" spans="2:6" ht="15.75" customHeight="1" x14ac:dyDescent="0.45">
      <c r="B595" s="143"/>
      <c r="C595" s="427"/>
      <c r="D595" s="143"/>
      <c r="E595" s="143"/>
      <c r="F595" s="143"/>
    </row>
    <row r="596" spans="2:6" ht="15.75" customHeight="1" x14ac:dyDescent="0.45">
      <c r="B596" s="143"/>
      <c r="C596" s="427"/>
      <c r="D596" s="143"/>
      <c r="E596" s="143"/>
      <c r="F596" s="143"/>
    </row>
    <row r="597" spans="2:6" ht="15.75" customHeight="1" x14ac:dyDescent="0.45">
      <c r="B597" s="143"/>
      <c r="C597" s="427"/>
      <c r="D597" s="143"/>
      <c r="E597" s="143"/>
      <c r="F597" s="143"/>
    </row>
    <row r="598" spans="2:6" ht="15.75" customHeight="1" x14ac:dyDescent="0.45">
      <c r="B598" s="143"/>
      <c r="C598" s="427"/>
      <c r="D598" s="143"/>
      <c r="E598" s="143"/>
      <c r="F598" s="143"/>
    </row>
    <row r="599" spans="2:6" ht="15.75" customHeight="1" x14ac:dyDescent="0.45">
      <c r="B599" s="143"/>
      <c r="C599" s="427"/>
      <c r="D599" s="143"/>
      <c r="E599" s="143"/>
      <c r="F599" s="143"/>
    </row>
    <row r="600" spans="2:6" ht="15.75" customHeight="1" x14ac:dyDescent="0.45">
      <c r="B600" s="143"/>
      <c r="C600" s="427"/>
      <c r="D600" s="143"/>
      <c r="E600" s="143"/>
      <c r="F600" s="143"/>
    </row>
    <row r="601" spans="2:6" ht="15.75" customHeight="1" x14ac:dyDescent="0.45">
      <c r="B601" s="143"/>
      <c r="C601" s="427"/>
      <c r="D601" s="143"/>
      <c r="E601" s="143"/>
      <c r="F601" s="143"/>
    </row>
    <row r="602" spans="2:6" ht="15.75" customHeight="1" x14ac:dyDescent="0.45">
      <c r="B602" s="143"/>
      <c r="C602" s="427"/>
      <c r="D602" s="143"/>
      <c r="E602" s="143"/>
      <c r="F602" s="143"/>
    </row>
    <row r="603" spans="2:6" ht="15.75" customHeight="1" x14ac:dyDescent="0.45">
      <c r="B603" s="143"/>
      <c r="C603" s="427"/>
      <c r="D603" s="143"/>
      <c r="E603" s="143"/>
      <c r="F603" s="143"/>
    </row>
    <row r="604" spans="2:6" ht="15.75" customHeight="1" x14ac:dyDescent="0.45">
      <c r="B604" s="143"/>
      <c r="C604" s="427"/>
      <c r="D604" s="143"/>
      <c r="E604" s="143"/>
      <c r="F604" s="143"/>
    </row>
    <row r="605" spans="2:6" ht="15.75" customHeight="1" x14ac:dyDescent="0.45">
      <c r="B605" s="143"/>
      <c r="C605" s="427"/>
      <c r="D605" s="143"/>
      <c r="E605" s="143"/>
      <c r="F605" s="143"/>
    </row>
    <row r="606" spans="2:6" ht="15.75" customHeight="1" x14ac:dyDescent="0.45">
      <c r="B606" s="143"/>
      <c r="C606" s="427"/>
      <c r="D606" s="143"/>
      <c r="E606" s="143"/>
      <c r="F606" s="143"/>
    </row>
    <row r="607" spans="2:6" ht="15.75" customHeight="1" x14ac:dyDescent="0.45">
      <c r="B607" s="143"/>
      <c r="C607" s="427"/>
      <c r="D607" s="143"/>
      <c r="E607" s="143"/>
      <c r="F607" s="143"/>
    </row>
    <row r="608" spans="2:6" ht="15.75" customHeight="1" x14ac:dyDescent="0.45">
      <c r="B608" s="143"/>
      <c r="C608" s="427"/>
      <c r="D608" s="143"/>
      <c r="E608" s="143"/>
      <c r="F608" s="143"/>
    </row>
    <row r="609" spans="2:6" ht="15.75" customHeight="1" x14ac:dyDescent="0.45">
      <c r="B609" s="143"/>
      <c r="C609" s="427"/>
      <c r="D609" s="143"/>
      <c r="E609" s="143"/>
      <c r="F609" s="143"/>
    </row>
    <row r="610" spans="2:6" ht="15.75" customHeight="1" x14ac:dyDescent="0.45">
      <c r="B610" s="143"/>
      <c r="C610" s="427"/>
      <c r="D610" s="143"/>
      <c r="E610" s="143"/>
      <c r="F610" s="143"/>
    </row>
    <row r="611" spans="2:6" ht="15.75" customHeight="1" x14ac:dyDescent="0.45">
      <c r="B611" s="143"/>
      <c r="C611" s="427"/>
      <c r="D611" s="143"/>
      <c r="E611" s="143"/>
      <c r="F611" s="143"/>
    </row>
    <row r="612" spans="2:6" ht="15.75" customHeight="1" x14ac:dyDescent="0.45">
      <c r="B612" s="143"/>
      <c r="C612" s="427"/>
      <c r="D612" s="143"/>
      <c r="E612" s="143"/>
      <c r="F612" s="143"/>
    </row>
    <row r="613" spans="2:6" ht="15.75" customHeight="1" x14ac:dyDescent="0.45">
      <c r="B613" s="143"/>
      <c r="C613" s="427"/>
      <c r="D613" s="143"/>
      <c r="E613" s="143"/>
      <c r="F613" s="143"/>
    </row>
    <row r="614" spans="2:6" ht="15.75" customHeight="1" x14ac:dyDescent="0.45">
      <c r="B614" s="143"/>
      <c r="C614" s="427"/>
      <c r="D614" s="143"/>
      <c r="E614" s="143"/>
      <c r="F614" s="143"/>
    </row>
    <row r="615" spans="2:6" ht="15.75" customHeight="1" x14ac:dyDescent="0.45">
      <c r="B615" s="143"/>
      <c r="C615" s="427"/>
      <c r="D615" s="143"/>
      <c r="E615" s="143"/>
      <c r="F615" s="143"/>
    </row>
    <row r="616" spans="2:6" ht="15.75" customHeight="1" x14ac:dyDescent="0.45">
      <c r="B616" s="143"/>
      <c r="C616" s="427"/>
      <c r="D616" s="143"/>
      <c r="E616" s="143"/>
      <c r="F616" s="143"/>
    </row>
    <row r="617" spans="2:6" ht="15.75" customHeight="1" x14ac:dyDescent="0.45">
      <c r="B617" s="143"/>
      <c r="C617" s="427"/>
      <c r="D617" s="143"/>
      <c r="E617" s="143"/>
      <c r="F617" s="143"/>
    </row>
    <row r="618" spans="2:6" ht="15.75" customHeight="1" x14ac:dyDescent="0.45">
      <c r="B618" s="143"/>
      <c r="C618" s="427"/>
      <c r="D618" s="143"/>
      <c r="E618" s="143"/>
      <c r="F618" s="143"/>
    </row>
    <row r="619" spans="2:6" ht="15.75" customHeight="1" x14ac:dyDescent="0.45">
      <c r="B619" s="143"/>
      <c r="C619" s="427"/>
      <c r="D619" s="143"/>
      <c r="E619" s="143"/>
      <c r="F619" s="143"/>
    </row>
    <row r="620" spans="2:6" ht="15.75" customHeight="1" x14ac:dyDescent="0.45">
      <c r="B620" s="143"/>
      <c r="C620" s="427"/>
      <c r="D620" s="143"/>
      <c r="E620" s="143"/>
      <c r="F620" s="143"/>
    </row>
    <row r="621" spans="2:6" ht="15.75" customHeight="1" x14ac:dyDescent="0.45">
      <c r="B621" s="143"/>
      <c r="C621" s="427"/>
      <c r="D621" s="143"/>
      <c r="E621" s="143"/>
      <c r="F621" s="143"/>
    </row>
    <row r="622" spans="2:6" ht="15.75" customHeight="1" x14ac:dyDescent="0.45">
      <c r="B622" s="143"/>
      <c r="C622" s="427"/>
      <c r="D622" s="143"/>
      <c r="E622" s="143"/>
      <c r="F622" s="143"/>
    </row>
    <row r="623" spans="2:6" ht="15.75" customHeight="1" x14ac:dyDescent="0.45">
      <c r="B623" s="143"/>
      <c r="C623" s="427"/>
      <c r="D623" s="143"/>
      <c r="E623" s="143"/>
      <c r="F623" s="143"/>
    </row>
    <row r="624" spans="2:6" ht="15.75" customHeight="1" x14ac:dyDescent="0.45">
      <c r="B624" s="143"/>
      <c r="C624" s="427"/>
      <c r="D624" s="143"/>
      <c r="E624" s="143"/>
      <c r="F624" s="143"/>
    </row>
    <row r="625" spans="2:6" ht="15.75" customHeight="1" x14ac:dyDescent="0.45">
      <c r="B625" s="143"/>
      <c r="C625" s="427"/>
      <c r="D625" s="143"/>
      <c r="E625" s="143"/>
      <c r="F625" s="143"/>
    </row>
    <row r="626" spans="2:6" ht="15.75" customHeight="1" x14ac:dyDescent="0.45">
      <c r="B626" s="143"/>
      <c r="C626" s="427"/>
      <c r="D626" s="143"/>
      <c r="E626" s="143"/>
      <c r="F626" s="143"/>
    </row>
    <row r="627" spans="2:6" ht="15.75" customHeight="1" x14ac:dyDescent="0.45">
      <c r="B627" s="143"/>
      <c r="C627" s="427"/>
      <c r="D627" s="143"/>
      <c r="E627" s="143"/>
      <c r="F627" s="143"/>
    </row>
    <row r="628" spans="2:6" ht="15.75" customHeight="1" x14ac:dyDescent="0.45">
      <c r="B628" s="143"/>
      <c r="C628" s="427"/>
      <c r="D628" s="143"/>
      <c r="E628" s="143"/>
      <c r="F628" s="143"/>
    </row>
    <row r="629" spans="2:6" ht="15.75" customHeight="1" x14ac:dyDescent="0.45">
      <c r="B629" s="143"/>
      <c r="C629" s="427"/>
      <c r="D629" s="143"/>
      <c r="E629" s="143"/>
      <c r="F629" s="143"/>
    </row>
    <row r="630" spans="2:6" ht="15.75" customHeight="1" x14ac:dyDescent="0.45">
      <c r="B630" s="143"/>
      <c r="C630" s="427"/>
      <c r="D630" s="143"/>
      <c r="E630" s="143"/>
      <c r="F630" s="143"/>
    </row>
    <row r="631" spans="2:6" ht="15.75" customHeight="1" x14ac:dyDescent="0.45">
      <c r="B631" s="143"/>
      <c r="C631" s="427"/>
      <c r="D631" s="143"/>
      <c r="E631" s="143"/>
      <c r="F631" s="143"/>
    </row>
    <row r="632" spans="2:6" ht="15.75" customHeight="1" x14ac:dyDescent="0.45">
      <c r="B632" s="143"/>
      <c r="C632" s="427"/>
      <c r="D632" s="143"/>
      <c r="E632" s="143"/>
      <c r="F632" s="143"/>
    </row>
    <row r="633" spans="2:6" ht="15.75" customHeight="1" x14ac:dyDescent="0.45">
      <c r="B633" s="143"/>
      <c r="C633" s="427"/>
      <c r="D633" s="143"/>
      <c r="E633" s="143"/>
      <c r="F633" s="143"/>
    </row>
    <row r="634" spans="2:6" ht="15.75" customHeight="1" x14ac:dyDescent="0.45">
      <c r="B634" s="143"/>
      <c r="C634" s="427"/>
      <c r="D634" s="143"/>
      <c r="E634" s="143"/>
      <c r="F634" s="143"/>
    </row>
    <row r="635" spans="2:6" ht="15.75" customHeight="1" x14ac:dyDescent="0.45">
      <c r="B635" s="143"/>
      <c r="C635" s="427"/>
      <c r="D635" s="143"/>
      <c r="E635" s="143"/>
      <c r="F635" s="143"/>
    </row>
    <row r="636" spans="2:6" ht="15.75" customHeight="1" x14ac:dyDescent="0.45">
      <c r="B636" s="143"/>
      <c r="C636" s="427"/>
      <c r="D636" s="143"/>
      <c r="E636" s="143"/>
      <c r="F636" s="143"/>
    </row>
    <row r="637" spans="2:6" ht="15.75" customHeight="1" x14ac:dyDescent="0.45">
      <c r="B637" s="143"/>
      <c r="C637" s="427"/>
      <c r="D637" s="143"/>
      <c r="E637" s="143"/>
      <c r="F637" s="143"/>
    </row>
    <row r="638" spans="2:6" ht="15.75" customHeight="1" x14ac:dyDescent="0.45">
      <c r="B638" s="143"/>
      <c r="C638" s="427"/>
      <c r="D638" s="143"/>
      <c r="E638" s="143"/>
      <c r="F638" s="143"/>
    </row>
    <row r="639" spans="2:6" ht="15.75" customHeight="1" x14ac:dyDescent="0.45">
      <c r="B639" s="143"/>
      <c r="C639" s="427"/>
      <c r="D639" s="143"/>
      <c r="E639" s="143"/>
      <c r="F639" s="143"/>
    </row>
    <row r="640" spans="2:6" ht="15.75" customHeight="1" x14ac:dyDescent="0.45">
      <c r="B640" s="143"/>
      <c r="C640" s="427"/>
      <c r="D640" s="143"/>
      <c r="E640" s="143"/>
      <c r="F640" s="143"/>
    </row>
    <row r="641" spans="2:6" ht="15.75" customHeight="1" x14ac:dyDescent="0.45">
      <c r="B641" s="143"/>
      <c r="C641" s="427"/>
      <c r="D641" s="143"/>
      <c r="E641" s="143"/>
      <c r="F641" s="143"/>
    </row>
    <row r="642" spans="2:6" ht="15.75" customHeight="1" x14ac:dyDescent="0.45">
      <c r="B642" s="143"/>
      <c r="C642" s="427"/>
      <c r="D642" s="143"/>
      <c r="E642" s="143"/>
      <c r="F642" s="143"/>
    </row>
    <row r="643" spans="2:6" ht="15.75" customHeight="1" x14ac:dyDescent="0.45">
      <c r="B643" s="143"/>
      <c r="C643" s="427"/>
      <c r="D643" s="143"/>
      <c r="E643" s="143"/>
      <c r="F643" s="143"/>
    </row>
    <row r="644" spans="2:6" ht="15.75" customHeight="1" x14ac:dyDescent="0.45">
      <c r="B644" s="143"/>
      <c r="C644" s="427"/>
      <c r="D644" s="143"/>
      <c r="E644" s="143"/>
      <c r="F644" s="143"/>
    </row>
    <row r="645" spans="2:6" ht="15.75" customHeight="1" x14ac:dyDescent="0.45">
      <c r="B645" s="143"/>
      <c r="C645" s="427"/>
      <c r="D645" s="143"/>
      <c r="E645" s="143"/>
      <c r="F645" s="143"/>
    </row>
    <row r="646" spans="2:6" ht="15.75" customHeight="1" x14ac:dyDescent="0.45">
      <c r="B646" s="143"/>
      <c r="C646" s="427"/>
      <c r="D646" s="143"/>
      <c r="E646" s="143"/>
      <c r="F646" s="143"/>
    </row>
    <row r="647" spans="2:6" ht="15.75" customHeight="1" x14ac:dyDescent="0.45">
      <c r="B647" s="143"/>
      <c r="C647" s="427"/>
      <c r="D647" s="143"/>
      <c r="E647" s="143"/>
      <c r="F647" s="143"/>
    </row>
    <row r="648" spans="2:6" ht="15.75" customHeight="1" x14ac:dyDescent="0.45">
      <c r="B648" s="143"/>
      <c r="C648" s="427"/>
      <c r="D648" s="143"/>
      <c r="E648" s="143"/>
      <c r="F648" s="143"/>
    </row>
    <row r="649" spans="2:6" ht="15.75" customHeight="1" x14ac:dyDescent="0.45">
      <c r="B649" s="143"/>
      <c r="C649" s="427"/>
      <c r="D649" s="143"/>
      <c r="E649" s="143"/>
      <c r="F649" s="143"/>
    </row>
    <row r="650" spans="2:6" ht="15.75" customHeight="1" x14ac:dyDescent="0.45">
      <c r="B650" s="143"/>
      <c r="C650" s="427"/>
      <c r="D650" s="143"/>
      <c r="E650" s="143"/>
      <c r="F650" s="143"/>
    </row>
    <row r="651" spans="2:6" ht="15.75" customHeight="1" x14ac:dyDescent="0.45">
      <c r="B651" s="143"/>
      <c r="C651" s="427"/>
      <c r="D651" s="143"/>
      <c r="E651" s="143"/>
      <c r="F651" s="143"/>
    </row>
    <row r="652" spans="2:6" ht="15.75" customHeight="1" x14ac:dyDescent="0.45">
      <c r="B652" s="143"/>
      <c r="C652" s="427"/>
      <c r="D652" s="143"/>
      <c r="E652" s="143"/>
      <c r="F652" s="143"/>
    </row>
    <row r="653" spans="2:6" ht="15.75" customHeight="1" x14ac:dyDescent="0.45">
      <c r="B653" s="143"/>
      <c r="C653" s="427"/>
      <c r="D653" s="143"/>
      <c r="E653" s="143"/>
      <c r="F653" s="143"/>
    </row>
    <row r="654" spans="2:6" ht="15.75" customHeight="1" x14ac:dyDescent="0.45">
      <c r="B654" s="143"/>
      <c r="C654" s="427"/>
      <c r="D654" s="143"/>
      <c r="E654" s="143"/>
      <c r="F654" s="143"/>
    </row>
    <row r="655" spans="2:6" ht="15.75" customHeight="1" x14ac:dyDescent="0.45">
      <c r="B655" s="143"/>
      <c r="C655" s="427"/>
      <c r="D655" s="143"/>
      <c r="E655" s="143"/>
      <c r="F655" s="143"/>
    </row>
    <row r="656" spans="2:6" ht="15.75" customHeight="1" x14ac:dyDescent="0.45">
      <c r="B656" s="143"/>
      <c r="C656" s="427"/>
      <c r="D656" s="143"/>
      <c r="E656" s="143"/>
      <c r="F656" s="143"/>
    </row>
    <row r="657" spans="2:6" ht="15.75" customHeight="1" x14ac:dyDescent="0.45">
      <c r="B657" s="143"/>
      <c r="C657" s="427"/>
      <c r="D657" s="143"/>
      <c r="E657" s="143"/>
      <c r="F657" s="143"/>
    </row>
    <row r="658" spans="2:6" ht="15.75" customHeight="1" x14ac:dyDescent="0.45">
      <c r="B658" s="143"/>
      <c r="C658" s="427"/>
      <c r="D658" s="143"/>
      <c r="E658" s="143"/>
      <c r="F658" s="143"/>
    </row>
    <row r="659" spans="2:6" ht="15.75" customHeight="1" x14ac:dyDescent="0.45">
      <c r="B659" s="143"/>
      <c r="C659" s="427"/>
      <c r="D659" s="143"/>
      <c r="E659" s="143"/>
      <c r="F659" s="143"/>
    </row>
    <row r="660" spans="2:6" ht="15.75" customHeight="1" x14ac:dyDescent="0.45">
      <c r="B660" s="143"/>
      <c r="C660" s="427"/>
      <c r="D660" s="143"/>
      <c r="E660" s="143"/>
      <c r="F660" s="143"/>
    </row>
    <row r="661" spans="2:6" ht="15.75" customHeight="1" x14ac:dyDescent="0.45">
      <c r="B661" s="143"/>
      <c r="C661" s="427"/>
      <c r="D661" s="143"/>
      <c r="E661" s="143"/>
      <c r="F661" s="143"/>
    </row>
    <row r="662" spans="2:6" ht="15.75" customHeight="1" x14ac:dyDescent="0.45">
      <c r="B662" s="143"/>
      <c r="C662" s="427"/>
      <c r="D662" s="143"/>
      <c r="E662" s="143"/>
      <c r="F662" s="143"/>
    </row>
    <row r="663" spans="2:6" ht="15.75" customHeight="1" x14ac:dyDescent="0.45">
      <c r="B663" s="143"/>
      <c r="C663" s="427"/>
      <c r="D663" s="143"/>
      <c r="E663" s="143"/>
      <c r="F663" s="143"/>
    </row>
    <row r="664" spans="2:6" ht="15.75" customHeight="1" x14ac:dyDescent="0.45">
      <c r="B664" s="143"/>
      <c r="C664" s="427"/>
      <c r="D664" s="143"/>
      <c r="E664" s="143"/>
      <c r="F664" s="143"/>
    </row>
    <row r="665" spans="2:6" ht="15.75" customHeight="1" x14ac:dyDescent="0.45">
      <c r="B665" s="143"/>
      <c r="C665" s="427"/>
      <c r="D665" s="143"/>
      <c r="E665" s="143"/>
      <c r="F665" s="143"/>
    </row>
    <row r="666" spans="2:6" ht="15.75" customHeight="1" x14ac:dyDescent="0.45">
      <c r="B666" s="143"/>
      <c r="C666" s="427"/>
      <c r="D666" s="143"/>
      <c r="E666" s="143"/>
      <c r="F666" s="143"/>
    </row>
    <row r="667" spans="2:6" ht="15.75" customHeight="1" x14ac:dyDescent="0.45">
      <c r="B667" s="143"/>
      <c r="C667" s="427"/>
      <c r="D667" s="143"/>
      <c r="E667" s="143"/>
      <c r="F667" s="143"/>
    </row>
    <row r="668" spans="2:6" ht="15.75" customHeight="1" x14ac:dyDescent="0.45">
      <c r="B668" s="143"/>
      <c r="C668" s="427"/>
      <c r="D668" s="143"/>
      <c r="E668" s="143"/>
      <c r="F668" s="143"/>
    </row>
    <row r="669" spans="2:6" ht="15.75" customHeight="1" x14ac:dyDescent="0.45">
      <c r="B669" s="143"/>
      <c r="C669" s="427"/>
      <c r="D669" s="143"/>
      <c r="E669" s="143"/>
      <c r="F669" s="143"/>
    </row>
    <row r="670" spans="2:6" ht="15.75" customHeight="1" x14ac:dyDescent="0.45">
      <c r="B670" s="143"/>
      <c r="C670" s="427"/>
      <c r="D670" s="143"/>
      <c r="E670" s="143"/>
      <c r="F670" s="143"/>
    </row>
    <row r="671" spans="2:6" ht="15.75" customHeight="1" x14ac:dyDescent="0.45">
      <c r="B671" s="143"/>
      <c r="C671" s="427"/>
      <c r="D671" s="143"/>
      <c r="E671" s="143"/>
      <c r="F671" s="143"/>
    </row>
    <row r="672" spans="2:6" ht="15.75" customHeight="1" x14ac:dyDescent="0.45">
      <c r="B672" s="143"/>
      <c r="C672" s="427"/>
      <c r="D672" s="143"/>
      <c r="E672" s="143"/>
      <c r="F672" s="143"/>
    </row>
    <row r="673" spans="2:6" ht="15.75" customHeight="1" x14ac:dyDescent="0.45">
      <c r="B673" s="143"/>
      <c r="C673" s="427"/>
      <c r="D673" s="143"/>
      <c r="E673" s="143"/>
      <c r="F673" s="143"/>
    </row>
    <row r="674" spans="2:6" ht="15.75" customHeight="1" x14ac:dyDescent="0.45">
      <c r="B674" s="143"/>
      <c r="C674" s="427"/>
      <c r="D674" s="143"/>
      <c r="E674" s="143"/>
      <c r="F674" s="143"/>
    </row>
    <row r="675" spans="2:6" ht="15.75" customHeight="1" x14ac:dyDescent="0.45">
      <c r="B675" s="143"/>
      <c r="C675" s="427"/>
      <c r="D675" s="143"/>
      <c r="E675" s="143"/>
      <c r="F675" s="143"/>
    </row>
    <row r="676" spans="2:6" ht="15.75" customHeight="1" x14ac:dyDescent="0.45">
      <c r="B676" s="143"/>
      <c r="C676" s="427"/>
      <c r="D676" s="143"/>
      <c r="E676" s="143"/>
      <c r="F676" s="143"/>
    </row>
    <row r="677" spans="2:6" ht="15.75" customHeight="1" x14ac:dyDescent="0.45">
      <c r="B677" s="143"/>
      <c r="C677" s="427"/>
      <c r="D677" s="143"/>
      <c r="E677" s="143"/>
      <c r="F677" s="143"/>
    </row>
    <row r="678" spans="2:6" ht="15.75" customHeight="1" x14ac:dyDescent="0.45">
      <c r="B678" s="143"/>
      <c r="C678" s="427"/>
      <c r="D678" s="143"/>
      <c r="E678" s="143"/>
      <c r="F678" s="143"/>
    </row>
    <row r="679" spans="2:6" ht="15.75" customHeight="1" x14ac:dyDescent="0.45">
      <c r="B679" s="143"/>
      <c r="C679" s="427"/>
      <c r="D679" s="143"/>
      <c r="E679" s="143"/>
      <c r="F679" s="143"/>
    </row>
    <row r="680" spans="2:6" ht="15.75" customHeight="1" x14ac:dyDescent="0.45">
      <c r="B680" s="143"/>
      <c r="C680" s="427"/>
      <c r="D680" s="143"/>
      <c r="E680" s="143"/>
      <c r="F680" s="143"/>
    </row>
    <row r="681" spans="2:6" ht="15.75" customHeight="1" x14ac:dyDescent="0.45">
      <c r="B681" s="143"/>
      <c r="C681" s="427"/>
      <c r="D681" s="143"/>
      <c r="E681" s="143"/>
      <c r="F681" s="143"/>
    </row>
    <row r="682" spans="2:6" ht="15.75" customHeight="1" x14ac:dyDescent="0.45">
      <c r="B682" s="143"/>
      <c r="C682" s="427"/>
      <c r="D682" s="143"/>
      <c r="E682" s="143"/>
      <c r="F682" s="143"/>
    </row>
    <row r="683" spans="2:6" ht="15.75" customHeight="1" x14ac:dyDescent="0.45">
      <c r="B683" s="143"/>
      <c r="C683" s="427"/>
      <c r="D683" s="143"/>
      <c r="E683" s="143"/>
      <c r="F683" s="143"/>
    </row>
    <row r="684" spans="2:6" ht="15.75" customHeight="1" x14ac:dyDescent="0.45">
      <c r="B684" s="143"/>
      <c r="C684" s="427"/>
      <c r="D684" s="143"/>
      <c r="E684" s="143"/>
      <c r="F684" s="143"/>
    </row>
    <row r="685" spans="2:6" ht="15.75" customHeight="1" x14ac:dyDescent="0.45">
      <c r="B685" s="143"/>
      <c r="C685" s="427"/>
      <c r="D685" s="143"/>
      <c r="E685" s="143"/>
      <c r="F685" s="143"/>
    </row>
    <row r="686" spans="2:6" ht="15.75" customHeight="1" x14ac:dyDescent="0.45">
      <c r="B686" s="143"/>
      <c r="C686" s="427"/>
      <c r="D686" s="143"/>
      <c r="E686" s="143"/>
      <c r="F686" s="143"/>
    </row>
    <row r="687" spans="2:6" ht="15.75" customHeight="1" x14ac:dyDescent="0.45">
      <c r="B687" s="143"/>
      <c r="C687" s="427"/>
      <c r="D687" s="143"/>
      <c r="E687" s="143"/>
      <c r="F687" s="143"/>
    </row>
    <row r="688" spans="2:6" ht="15.75" customHeight="1" x14ac:dyDescent="0.45">
      <c r="B688" s="143"/>
      <c r="C688" s="427"/>
      <c r="D688" s="143"/>
      <c r="E688" s="143"/>
      <c r="F688" s="143"/>
    </row>
    <row r="689" spans="2:6" ht="15.75" customHeight="1" x14ac:dyDescent="0.45">
      <c r="B689" s="143"/>
      <c r="C689" s="427"/>
      <c r="D689" s="143"/>
      <c r="E689" s="143"/>
      <c r="F689" s="143"/>
    </row>
    <row r="690" spans="2:6" ht="15.75" customHeight="1" x14ac:dyDescent="0.45">
      <c r="B690" s="143"/>
      <c r="C690" s="427"/>
      <c r="D690" s="143"/>
      <c r="E690" s="143"/>
      <c r="F690" s="143"/>
    </row>
    <row r="691" spans="2:6" ht="15.75" customHeight="1" x14ac:dyDescent="0.45">
      <c r="B691" s="143"/>
      <c r="C691" s="427"/>
      <c r="D691" s="143"/>
      <c r="E691" s="143"/>
      <c r="F691" s="143"/>
    </row>
    <row r="692" spans="2:6" ht="15.75" customHeight="1" x14ac:dyDescent="0.45">
      <c r="B692" s="143"/>
      <c r="C692" s="427"/>
      <c r="D692" s="143"/>
      <c r="E692" s="143"/>
      <c r="F692" s="143"/>
    </row>
    <row r="693" spans="2:6" ht="15.75" customHeight="1" x14ac:dyDescent="0.45">
      <c r="B693" s="143"/>
      <c r="C693" s="427"/>
      <c r="D693" s="143"/>
      <c r="E693" s="143"/>
      <c r="F693" s="143"/>
    </row>
    <row r="694" spans="2:6" ht="15.75" customHeight="1" x14ac:dyDescent="0.45">
      <c r="B694" s="143"/>
      <c r="C694" s="427"/>
      <c r="D694" s="143"/>
      <c r="E694" s="143"/>
      <c r="F694" s="143"/>
    </row>
    <row r="695" spans="2:6" ht="15.75" customHeight="1" x14ac:dyDescent="0.45">
      <c r="B695" s="143"/>
      <c r="C695" s="427"/>
      <c r="D695" s="143"/>
      <c r="E695" s="143"/>
      <c r="F695" s="143"/>
    </row>
    <row r="696" spans="2:6" ht="15.75" customHeight="1" x14ac:dyDescent="0.45">
      <c r="B696" s="143"/>
      <c r="C696" s="427"/>
      <c r="D696" s="143"/>
      <c r="E696" s="143"/>
      <c r="F696" s="143"/>
    </row>
    <row r="697" spans="2:6" ht="15.75" customHeight="1" x14ac:dyDescent="0.45">
      <c r="B697" s="143"/>
      <c r="C697" s="427"/>
      <c r="D697" s="143"/>
      <c r="E697" s="143"/>
      <c r="F697" s="143"/>
    </row>
    <row r="698" spans="2:6" ht="15.75" customHeight="1" x14ac:dyDescent="0.45">
      <c r="B698" s="143"/>
      <c r="C698" s="427"/>
      <c r="D698" s="143"/>
      <c r="E698" s="143"/>
      <c r="F698" s="143"/>
    </row>
    <row r="699" spans="2:6" ht="15.75" customHeight="1" x14ac:dyDescent="0.45">
      <c r="B699" s="143"/>
      <c r="C699" s="427"/>
      <c r="D699" s="143"/>
      <c r="E699" s="143"/>
      <c r="F699" s="143"/>
    </row>
    <row r="700" spans="2:6" ht="15.75" customHeight="1" x14ac:dyDescent="0.45">
      <c r="B700" s="143"/>
      <c r="C700" s="427"/>
      <c r="D700" s="143"/>
      <c r="E700" s="143"/>
      <c r="F700" s="143"/>
    </row>
    <row r="701" spans="2:6" ht="15.75" customHeight="1" x14ac:dyDescent="0.45">
      <c r="B701" s="143"/>
      <c r="C701" s="427"/>
      <c r="D701" s="143"/>
      <c r="E701" s="143"/>
      <c r="F701" s="143"/>
    </row>
    <row r="702" spans="2:6" ht="15.75" customHeight="1" x14ac:dyDescent="0.45">
      <c r="B702" s="143"/>
      <c r="C702" s="427"/>
      <c r="D702" s="143"/>
      <c r="E702" s="143"/>
      <c r="F702" s="143"/>
    </row>
    <row r="703" spans="2:6" ht="15.75" customHeight="1" x14ac:dyDescent="0.45">
      <c r="B703" s="143"/>
      <c r="C703" s="427"/>
      <c r="D703" s="143"/>
      <c r="E703" s="143"/>
      <c r="F703" s="143"/>
    </row>
    <row r="704" spans="2:6" ht="15.75" customHeight="1" x14ac:dyDescent="0.45">
      <c r="B704" s="143"/>
      <c r="C704" s="427"/>
      <c r="D704" s="143"/>
      <c r="E704" s="143"/>
      <c r="F704" s="143"/>
    </row>
    <row r="705" spans="2:6" ht="15.75" customHeight="1" x14ac:dyDescent="0.45">
      <c r="B705" s="143"/>
      <c r="C705" s="427"/>
      <c r="D705" s="143"/>
      <c r="E705" s="143"/>
      <c r="F705" s="143"/>
    </row>
    <row r="706" spans="2:6" ht="15.75" customHeight="1" x14ac:dyDescent="0.45">
      <c r="B706" s="143"/>
      <c r="C706" s="427"/>
      <c r="D706" s="143"/>
      <c r="E706" s="143"/>
      <c r="F706" s="143"/>
    </row>
    <row r="707" spans="2:6" ht="15.75" customHeight="1" x14ac:dyDescent="0.45">
      <c r="B707" s="143"/>
      <c r="C707" s="427"/>
      <c r="D707" s="143"/>
      <c r="E707" s="143"/>
      <c r="F707" s="143"/>
    </row>
    <row r="708" spans="2:6" ht="15.75" customHeight="1" x14ac:dyDescent="0.45">
      <c r="B708" s="143"/>
      <c r="C708" s="427"/>
      <c r="D708" s="143"/>
      <c r="E708" s="143"/>
      <c r="F708" s="143"/>
    </row>
    <row r="709" spans="2:6" ht="15.75" customHeight="1" x14ac:dyDescent="0.45">
      <c r="B709" s="143"/>
      <c r="C709" s="427"/>
      <c r="D709" s="143"/>
      <c r="E709" s="143"/>
      <c r="F709" s="143"/>
    </row>
    <row r="710" spans="2:6" ht="15.75" customHeight="1" x14ac:dyDescent="0.45">
      <c r="B710" s="143"/>
      <c r="C710" s="427"/>
      <c r="D710" s="143"/>
      <c r="E710" s="143"/>
      <c r="F710" s="143"/>
    </row>
    <row r="711" spans="2:6" ht="15.75" customHeight="1" x14ac:dyDescent="0.45">
      <c r="B711" s="143"/>
      <c r="C711" s="427"/>
      <c r="D711" s="143"/>
      <c r="E711" s="143"/>
      <c r="F711" s="143"/>
    </row>
    <row r="712" spans="2:6" ht="15.75" customHeight="1" x14ac:dyDescent="0.45">
      <c r="B712" s="143"/>
      <c r="C712" s="427"/>
      <c r="D712" s="143"/>
      <c r="E712" s="143"/>
      <c r="F712" s="143"/>
    </row>
    <row r="713" spans="2:6" ht="15.75" customHeight="1" x14ac:dyDescent="0.45">
      <c r="B713" s="143"/>
      <c r="C713" s="427"/>
      <c r="D713" s="143"/>
      <c r="E713" s="143"/>
      <c r="F713" s="143"/>
    </row>
    <row r="714" spans="2:6" ht="15.75" customHeight="1" x14ac:dyDescent="0.45">
      <c r="B714" s="143"/>
      <c r="C714" s="427"/>
      <c r="D714" s="143"/>
      <c r="E714" s="143"/>
      <c r="F714" s="143"/>
    </row>
    <row r="715" spans="2:6" ht="15.75" customHeight="1" x14ac:dyDescent="0.45">
      <c r="B715" s="143"/>
      <c r="C715" s="427"/>
      <c r="D715" s="143"/>
      <c r="E715" s="143"/>
      <c r="F715" s="143"/>
    </row>
    <row r="716" spans="2:6" ht="15.75" customHeight="1" x14ac:dyDescent="0.45">
      <c r="B716" s="143"/>
      <c r="C716" s="427"/>
      <c r="D716" s="143"/>
      <c r="E716" s="143"/>
      <c r="F716" s="143"/>
    </row>
    <row r="717" spans="2:6" ht="15.75" customHeight="1" x14ac:dyDescent="0.45">
      <c r="B717" s="143"/>
      <c r="C717" s="427"/>
      <c r="D717" s="143"/>
      <c r="E717" s="143"/>
      <c r="F717" s="143"/>
    </row>
    <row r="718" spans="2:6" ht="15.75" customHeight="1" x14ac:dyDescent="0.45">
      <c r="B718" s="143"/>
      <c r="C718" s="427"/>
      <c r="D718" s="143"/>
      <c r="E718" s="143"/>
      <c r="F718" s="143"/>
    </row>
    <row r="719" spans="2:6" ht="15.75" customHeight="1" x14ac:dyDescent="0.45">
      <c r="B719" s="143"/>
      <c r="C719" s="427"/>
      <c r="D719" s="143"/>
      <c r="E719" s="143"/>
      <c r="F719" s="143"/>
    </row>
    <row r="720" spans="2:6" ht="15.75" customHeight="1" x14ac:dyDescent="0.45">
      <c r="B720" s="143"/>
      <c r="C720" s="427"/>
      <c r="D720" s="143"/>
      <c r="E720" s="143"/>
      <c r="F720" s="143"/>
    </row>
    <row r="721" spans="2:6" ht="15.75" customHeight="1" x14ac:dyDescent="0.45">
      <c r="B721" s="143"/>
      <c r="C721" s="427"/>
      <c r="D721" s="143"/>
      <c r="E721" s="143"/>
      <c r="F721" s="143"/>
    </row>
    <row r="722" spans="2:6" ht="15.75" customHeight="1" x14ac:dyDescent="0.45">
      <c r="B722" s="143"/>
      <c r="C722" s="427"/>
      <c r="D722" s="143"/>
      <c r="E722" s="143"/>
      <c r="F722" s="143"/>
    </row>
    <row r="723" spans="2:6" ht="15.75" customHeight="1" x14ac:dyDescent="0.45">
      <c r="B723" s="143"/>
      <c r="C723" s="427"/>
      <c r="D723" s="143"/>
      <c r="E723" s="143"/>
      <c r="F723" s="143"/>
    </row>
    <row r="724" spans="2:6" ht="15.75" customHeight="1" x14ac:dyDescent="0.45">
      <c r="B724" s="143"/>
      <c r="C724" s="427"/>
      <c r="D724" s="143"/>
      <c r="E724" s="143"/>
      <c r="F724" s="143"/>
    </row>
    <row r="725" spans="2:6" ht="15.75" customHeight="1" x14ac:dyDescent="0.45">
      <c r="B725" s="143"/>
      <c r="C725" s="427"/>
      <c r="D725" s="143"/>
      <c r="E725" s="143"/>
      <c r="F725" s="143"/>
    </row>
    <row r="726" spans="2:6" ht="15.75" customHeight="1" x14ac:dyDescent="0.45">
      <c r="B726" s="143"/>
      <c r="C726" s="427"/>
      <c r="D726" s="143"/>
      <c r="E726" s="143"/>
      <c r="F726" s="143"/>
    </row>
    <row r="727" spans="2:6" ht="15.75" customHeight="1" x14ac:dyDescent="0.45">
      <c r="B727" s="143"/>
      <c r="C727" s="427"/>
      <c r="D727" s="143"/>
      <c r="E727" s="143"/>
      <c r="F727" s="143"/>
    </row>
    <row r="728" spans="2:6" ht="15.75" customHeight="1" x14ac:dyDescent="0.45">
      <c r="B728" s="143"/>
      <c r="C728" s="427"/>
      <c r="D728" s="143"/>
      <c r="E728" s="143"/>
      <c r="F728" s="143"/>
    </row>
    <row r="729" spans="2:6" ht="15.75" customHeight="1" x14ac:dyDescent="0.45">
      <c r="B729" s="143"/>
      <c r="C729" s="427"/>
      <c r="D729" s="143"/>
      <c r="E729" s="143"/>
      <c r="F729" s="143"/>
    </row>
    <row r="730" spans="2:6" ht="15.75" customHeight="1" x14ac:dyDescent="0.45">
      <c r="B730" s="143"/>
      <c r="C730" s="427"/>
      <c r="D730" s="143"/>
      <c r="E730" s="143"/>
      <c r="F730" s="143"/>
    </row>
    <row r="731" spans="2:6" ht="15.75" customHeight="1" x14ac:dyDescent="0.45">
      <c r="B731" s="143"/>
      <c r="C731" s="427"/>
      <c r="D731" s="143"/>
      <c r="E731" s="143"/>
      <c r="F731" s="143"/>
    </row>
    <row r="732" spans="2:6" ht="15.75" customHeight="1" x14ac:dyDescent="0.45">
      <c r="B732" s="143"/>
      <c r="C732" s="427"/>
      <c r="D732" s="143"/>
      <c r="E732" s="143"/>
      <c r="F732" s="143"/>
    </row>
    <row r="733" spans="2:6" ht="15.75" customHeight="1" x14ac:dyDescent="0.45">
      <c r="B733" s="143"/>
      <c r="C733" s="427"/>
      <c r="D733" s="143"/>
      <c r="E733" s="143"/>
      <c r="F733" s="143"/>
    </row>
    <row r="734" spans="2:6" ht="15.75" customHeight="1" x14ac:dyDescent="0.45">
      <c r="B734" s="143"/>
      <c r="C734" s="427"/>
      <c r="D734" s="143"/>
      <c r="E734" s="143"/>
      <c r="F734" s="143"/>
    </row>
    <row r="735" spans="2:6" ht="15.75" customHeight="1" x14ac:dyDescent="0.45">
      <c r="B735" s="143"/>
      <c r="C735" s="427"/>
      <c r="D735" s="143"/>
      <c r="E735" s="143"/>
      <c r="F735" s="143"/>
    </row>
    <row r="736" spans="2:6" ht="15.75" customHeight="1" x14ac:dyDescent="0.45">
      <c r="B736" s="143"/>
      <c r="C736" s="427"/>
      <c r="D736" s="143"/>
      <c r="E736" s="143"/>
      <c r="F736" s="143"/>
    </row>
    <row r="737" spans="2:6" ht="15.75" customHeight="1" x14ac:dyDescent="0.45">
      <c r="B737" s="143"/>
      <c r="C737" s="427"/>
      <c r="D737" s="143"/>
      <c r="E737" s="143"/>
      <c r="F737" s="143"/>
    </row>
    <row r="738" spans="2:6" ht="15.75" customHeight="1" x14ac:dyDescent="0.45">
      <c r="B738" s="143"/>
      <c r="C738" s="427"/>
      <c r="D738" s="143"/>
      <c r="E738" s="143"/>
      <c r="F738" s="143"/>
    </row>
    <row r="739" spans="2:6" ht="15.75" customHeight="1" x14ac:dyDescent="0.45">
      <c r="B739" s="143"/>
      <c r="C739" s="427"/>
      <c r="D739" s="143"/>
      <c r="E739" s="143"/>
      <c r="F739" s="143"/>
    </row>
    <row r="740" spans="2:6" ht="15.75" customHeight="1" x14ac:dyDescent="0.45">
      <c r="B740" s="143"/>
      <c r="C740" s="427"/>
      <c r="D740" s="143"/>
      <c r="E740" s="143"/>
      <c r="F740" s="143"/>
    </row>
    <row r="741" spans="2:6" ht="15.75" customHeight="1" x14ac:dyDescent="0.45">
      <c r="B741" s="143"/>
      <c r="C741" s="427"/>
      <c r="D741" s="143"/>
      <c r="E741" s="143"/>
      <c r="F741" s="143"/>
    </row>
    <row r="742" spans="2:6" ht="15.75" customHeight="1" x14ac:dyDescent="0.45">
      <c r="B742" s="143"/>
      <c r="C742" s="427"/>
      <c r="D742" s="143"/>
      <c r="E742" s="143"/>
      <c r="F742" s="143"/>
    </row>
    <row r="743" spans="2:6" ht="15.75" customHeight="1" x14ac:dyDescent="0.45">
      <c r="B743" s="143"/>
      <c r="C743" s="427"/>
      <c r="D743" s="143"/>
      <c r="E743" s="143"/>
      <c r="F743" s="143"/>
    </row>
    <row r="744" spans="2:6" ht="15.75" customHeight="1" x14ac:dyDescent="0.45">
      <c r="B744" s="143"/>
      <c r="C744" s="427"/>
      <c r="D744" s="143"/>
      <c r="E744" s="143"/>
      <c r="F744" s="143"/>
    </row>
    <row r="745" spans="2:6" ht="15.75" customHeight="1" x14ac:dyDescent="0.45">
      <c r="B745" s="143"/>
      <c r="C745" s="427"/>
      <c r="D745" s="143"/>
      <c r="E745" s="143"/>
      <c r="F745" s="143"/>
    </row>
    <row r="746" spans="2:6" ht="15.75" customHeight="1" x14ac:dyDescent="0.45">
      <c r="B746" s="143"/>
      <c r="C746" s="427"/>
      <c r="D746" s="143"/>
      <c r="E746" s="143"/>
      <c r="F746" s="143"/>
    </row>
    <row r="747" spans="2:6" ht="15.75" customHeight="1" x14ac:dyDescent="0.45">
      <c r="B747" s="143"/>
      <c r="C747" s="427"/>
      <c r="D747" s="143"/>
      <c r="E747" s="143"/>
      <c r="F747" s="143"/>
    </row>
    <row r="748" spans="2:6" ht="15.75" customHeight="1" x14ac:dyDescent="0.45">
      <c r="B748" s="143"/>
      <c r="C748" s="427"/>
      <c r="D748" s="143"/>
      <c r="E748" s="143"/>
      <c r="F748" s="143"/>
    </row>
    <row r="749" spans="2:6" ht="15.75" customHeight="1" x14ac:dyDescent="0.45">
      <c r="B749" s="143"/>
      <c r="C749" s="427"/>
      <c r="D749" s="143"/>
      <c r="E749" s="143"/>
      <c r="F749" s="143"/>
    </row>
    <row r="750" spans="2:6" ht="15.75" customHeight="1" x14ac:dyDescent="0.45">
      <c r="B750" s="143"/>
      <c r="C750" s="427"/>
      <c r="D750" s="143"/>
      <c r="E750" s="143"/>
      <c r="F750" s="143"/>
    </row>
    <row r="751" spans="2:6" ht="15.75" customHeight="1" x14ac:dyDescent="0.45">
      <c r="B751" s="143"/>
      <c r="C751" s="427"/>
      <c r="D751" s="143"/>
      <c r="E751" s="143"/>
      <c r="F751" s="143"/>
    </row>
    <row r="752" spans="2:6" ht="15.75" customHeight="1" x14ac:dyDescent="0.45">
      <c r="B752" s="143"/>
      <c r="C752" s="427"/>
      <c r="D752" s="143"/>
      <c r="E752" s="143"/>
      <c r="F752" s="143"/>
    </row>
    <row r="753" spans="2:6" ht="15.75" customHeight="1" x14ac:dyDescent="0.45">
      <c r="B753" s="143"/>
      <c r="C753" s="427"/>
      <c r="D753" s="143"/>
      <c r="E753" s="143"/>
      <c r="F753" s="143"/>
    </row>
    <row r="754" spans="2:6" ht="15.75" customHeight="1" x14ac:dyDescent="0.45">
      <c r="B754" s="143"/>
      <c r="C754" s="427"/>
      <c r="D754" s="143"/>
      <c r="E754" s="143"/>
      <c r="F754" s="143"/>
    </row>
    <row r="755" spans="2:6" ht="15.75" customHeight="1" x14ac:dyDescent="0.45">
      <c r="B755" s="143"/>
      <c r="C755" s="427"/>
      <c r="D755" s="143"/>
      <c r="E755" s="143"/>
      <c r="F755" s="143"/>
    </row>
    <row r="756" spans="2:6" ht="15.75" customHeight="1" x14ac:dyDescent="0.45">
      <c r="B756" s="143"/>
      <c r="C756" s="427"/>
      <c r="D756" s="143"/>
      <c r="E756" s="143"/>
      <c r="F756" s="143"/>
    </row>
    <row r="757" spans="2:6" ht="15.75" customHeight="1" x14ac:dyDescent="0.45">
      <c r="B757" s="143"/>
      <c r="C757" s="427"/>
      <c r="D757" s="143"/>
      <c r="E757" s="143"/>
      <c r="F757" s="143"/>
    </row>
    <row r="758" spans="2:6" ht="15.75" customHeight="1" x14ac:dyDescent="0.45">
      <c r="B758" s="143"/>
      <c r="C758" s="427"/>
      <c r="D758" s="143"/>
      <c r="E758" s="143"/>
      <c r="F758" s="143"/>
    </row>
    <row r="759" spans="2:6" ht="15.75" customHeight="1" x14ac:dyDescent="0.45">
      <c r="B759" s="143"/>
      <c r="C759" s="427"/>
      <c r="D759" s="143"/>
      <c r="E759" s="143"/>
      <c r="F759" s="143"/>
    </row>
    <row r="760" spans="2:6" ht="15.75" customHeight="1" x14ac:dyDescent="0.45">
      <c r="B760" s="143"/>
      <c r="C760" s="427"/>
      <c r="D760" s="143"/>
      <c r="E760" s="143"/>
      <c r="F760" s="143"/>
    </row>
    <row r="761" spans="2:6" ht="15.75" customHeight="1" x14ac:dyDescent="0.45">
      <c r="B761" s="143"/>
      <c r="C761" s="427"/>
      <c r="D761" s="143"/>
      <c r="E761" s="143"/>
      <c r="F761" s="143"/>
    </row>
    <row r="762" spans="2:6" ht="15.75" customHeight="1" x14ac:dyDescent="0.45">
      <c r="B762" s="143"/>
      <c r="C762" s="427"/>
      <c r="D762" s="143"/>
      <c r="E762" s="143"/>
      <c r="F762" s="143"/>
    </row>
    <row r="763" spans="2:6" ht="15.75" customHeight="1" x14ac:dyDescent="0.45">
      <c r="B763" s="143"/>
      <c r="C763" s="427"/>
      <c r="D763" s="143"/>
      <c r="E763" s="143"/>
      <c r="F763" s="143"/>
    </row>
    <row r="764" spans="2:6" ht="15.75" customHeight="1" x14ac:dyDescent="0.45">
      <c r="B764" s="143"/>
      <c r="C764" s="427"/>
      <c r="D764" s="143"/>
      <c r="E764" s="143"/>
      <c r="F764" s="143"/>
    </row>
    <row r="765" spans="2:6" ht="15.75" customHeight="1" x14ac:dyDescent="0.45">
      <c r="B765" s="143"/>
      <c r="C765" s="427"/>
      <c r="D765" s="143"/>
      <c r="E765" s="143"/>
      <c r="F765" s="143"/>
    </row>
    <row r="766" spans="2:6" ht="15.75" customHeight="1" x14ac:dyDescent="0.45">
      <c r="B766" s="143"/>
      <c r="C766" s="427"/>
      <c r="D766" s="143"/>
      <c r="E766" s="143"/>
      <c r="F766" s="143"/>
    </row>
    <row r="767" spans="2:6" ht="15.75" customHeight="1" x14ac:dyDescent="0.45">
      <c r="B767" s="143"/>
      <c r="C767" s="427"/>
      <c r="D767" s="143"/>
      <c r="E767" s="143"/>
      <c r="F767" s="143"/>
    </row>
    <row r="768" spans="2:6" ht="15.75" customHeight="1" x14ac:dyDescent="0.45">
      <c r="B768" s="143"/>
      <c r="C768" s="427"/>
      <c r="D768" s="143"/>
      <c r="E768" s="143"/>
      <c r="F768" s="143"/>
    </row>
    <row r="769" spans="2:6" ht="15.75" customHeight="1" x14ac:dyDescent="0.45">
      <c r="B769" s="143"/>
      <c r="C769" s="427"/>
      <c r="D769" s="143"/>
      <c r="E769" s="143"/>
      <c r="F769" s="143"/>
    </row>
    <row r="770" spans="2:6" ht="15.75" customHeight="1" x14ac:dyDescent="0.45">
      <c r="B770" s="143"/>
      <c r="C770" s="427"/>
      <c r="D770" s="143"/>
      <c r="E770" s="143"/>
      <c r="F770" s="143"/>
    </row>
    <row r="771" spans="2:6" ht="15.75" customHeight="1" x14ac:dyDescent="0.45">
      <c r="B771" s="143"/>
      <c r="C771" s="427"/>
      <c r="D771" s="143"/>
      <c r="E771" s="143"/>
      <c r="F771" s="143"/>
    </row>
    <row r="772" spans="2:6" ht="15.75" customHeight="1" x14ac:dyDescent="0.45">
      <c r="B772" s="143"/>
      <c r="C772" s="427"/>
      <c r="D772" s="143"/>
      <c r="E772" s="143"/>
      <c r="F772" s="143"/>
    </row>
    <row r="773" spans="2:6" ht="15.75" customHeight="1" x14ac:dyDescent="0.45">
      <c r="B773" s="143"/>
      <c r="C773" s="427"/>
      <c r="D773" s="143"/>
      <c r="E773" s="143"/>
      <c r="F773" s="143"/>
    </row>
    <row r="774" spans="2:6" ht="15.75" customHeight="1" x14ac:dyDescent="0.45">
      <c r="B774" s="143"/>
      <c r="C774" s="427"/>
      <c r="D774" s="143"/>
      <c r="E774" s="143"/>
      <c r="F774" s="143"/>
    </row>
    <row r="775" spans="2:6" ht="15.75" customHeight="1" x14ac:dyDescent="0.45">
      <c r="B775" s="143"/>
      <c r="C775" s="427"/>
      <c r="D775" s="143"/>
      <c r="E775" s="143"/>
      <c r="F775" s="143"/>
    </row>
    <row r="776" spans="2:6" ht="15.75" customHeight="1" x14ac:dyDescent="0.45">
      <c r="B776" s="143"/>
      <c r="C776" s="427"/>
      <c r="D776" s="143"/>
      <c r="E776" s="143"/>
      <c r="F776" s="143"/>
    </row>
    <row r="777" spans="2:6" ht="15.75" customHeight="1" x14ac:dyDescent="0.45">
      <c r="B777" s="143"/>
      <c r="C777" s="427"/>
      <c r="D777" s="143"/>
      <c r="E777" s="143"/>
      <c r="F777" s="143"/>
    </row>
    <row r="778" spans="2:6" ht="15.75" customHeight="1" x14ac:dyDescent="0.45">
      <c r="B778" s="143"/>
      <c r="C778" s="427"/>
      <c r="D778" s="143"/>
      <c r="E778" s="143"/>
      <c r="F778" s="143"/>
    </row>
    <row r="779" spans="2:6" ht="15.75" customHeight="1" x14ac:dyDescent="0.45">
      <c r="B779" s="143"/>
      <c r="C779" s="427"/>
      <c r="D779" s="143"/>
      <c r="E779" s="143"/>
      <c r="F779" s="143"/>
    </row>
    <row r="780" spans="2:6" ht="15.75" customHeight="1" x14ac:dyDescent="0.45">
      <c r="B780" s="143"/>
      <c r="C780" s="427"/>
      <c r="D780" s="143"/>
      <c r="E780" s="143"/>
      <c r="F780" s="143"/>
    </row>
    <row r="781" spans="2:6" ht="15.75" customHeight="1" x14ac:dyDescent="0.45">
      <c r="B781" s="143"/>
      <c r="C781" s="427"/>
      <c r="D781" s="143"/>
      <c r="E781" s="143"/>
      <c r="F781" s="143"/>
    </row>
    <row r="782" spans="2:6" ht="15.75" customHeight="1" x14ac:dyDescent="0.45">
      <c r="B782" s="143"/>
      <c r="C782" s="427"/>
      <c r="D782" s="143"/>
      <c r="E782" s="143"/>
      <c r="F782" s="143"/>
    </row>
    <row r="783" spans="2:6" ht="15.75" customHeight="1" x14ac:dyDescent="0.45">
      <c r="B783" s="143"/>
      <c r="C783" s="427"/>
      <c r="D783" s="143"/>
      <c r="E783" s="143"/>
      <c r="F783" s="143"/>
    </row>
    <row r="784" spans="2:6" ht="15.75" customHeight="1" x14ac:dyDescent="0.45">
      <c r="B784" s="143"/>
      <c r="C784" s="427"/>
      <c r="D784" s="143"/>
      <c r="E784" s="143"/>
      <c r="F784" s="143"/>
    </row>
    <row r="785" spans="2:6" ht="15.75" customHeight="1" x14ac:dyDescent="0.45">
      <c r="B785" s="143"/>
      <c r="C785" s="427"/>
      <c r="D785" s="143"/>
      <c r="E785" s="143"/>
      <c r="F785" s="143"/>
    </row>
    <row r="786" spans="2:6" ht="15.75" customHeight="1" x14ac:dyDescent="0.45">
      <c r="B786" s="143"/>
      <c r="C786" s="427"/>
      <c r="D786" s="143"/>
      <c r="E786" s="143"/>
      <c r="F786" s="143"/>
    </row>
    <row r="787" spans="2:6" ht="15.75" customHeight="1" x14ac:dyDescent="0.45">
      <c r="B787" s="143"/>
      <c r="C787" s="427"/>
      <c r="D787" s="143"/>
      <c r="E787" s="143"/>
      <c r="F787" s="143"/>
    </row>
    <row r="788" spans="2:6" ht="15.75" customHeight="1" x14ac:dyDescent="0.45">
      <c r="B788" s="143"/>
      <c r="C788" s="427"/>
      <c r="D788" s="143"/>
      <c r="E788" s="143"/>
      <c r="F788" s="143"/>
    </row>
    <row r="789" spans="2:6" ht="15.75" customHeight="1" x14ac:dyDescent="0.45">
      <c r="B789" s="143"/>
      <c r="C789" s="427"/>
      <c r="D789" s="143"/>
      <c r="E789" s="143"/>
      <c r="F789" s="143"/>
    </row>
    <row r="790" spans="2:6" ht="15.75" customHeight="1" x14ac:dyDescent="0.45">
      <c r="B790" s="143"/>
      <c r="C790" s="427"/>
      <c r="D790" s="143"/>
      <c r="E790" s="143"/>
      <c r="F790" s="143"/>
    </row>
    <row r="791" spans="2:6" ht="15.75" customHeight="1" x14ac:dyDescent="0.45">
      <c r="B791" s="143"/>
      <c r="C791" s="427"/>
      <c r="D791" s="143"/>
      <c r="E791" s="143"/>
      <c r="F791" s="143"/>
    </row>
    <row r="792" spans="2:6" ht="15.75" customHeight="1" x14ac:dyDescent="0.45">
      <c r="B792" s="143"/>
      <c r="C792" s="427"/>
      <c r="D792" s="143"/>
      <c r="E792" s="143"/>
      <c r="F792" s="143"/>
    </row>
    <row r="793" spans="2:6" ht="15.75" customHeight="1" x14ac:dyDescent="0.45">
      <c r="B793" s="143"/>
      <c r="C793" s="427"/>
      <c r="D793" s="143"/>
      <c r="E793" s="143"/>
      <c r="F793" s="143"/>
    </row>
    <row r="794" spans="2:6" ht="15.75" customHeight="1" x14ac:dyDescent="0.45">
      <c r="B794" s="143"/>
      <c r="C794" s="427"/>
      <c r="D794" s="143"/>
      <c r="E794" s="143"/>
      <c r="F794" s="143"/>
    </row>
    <row r="795" spans="2:6" ht="15.75" customHeight="1" x14ac:dyDescent="0.45">
      <c r="B795" s="143"/>
      <c r="C795" s="427"/>
      <c r="D795" s="143"/>
      <c r="E795" s="143"/>
      <c r="F795" s="143"/>
    </row>
    <row r="796" spans="2:6" ht="15.75" customHeight="1" x14ac:dyDescent="0.45">
      <c r="B796" s="143"/>
      <c r="C796" s="427"/>
      <c r="D796" s="143"/>
      <c r="E796" s="143"/>
      <c r="F796" s="143"/>
    </row>
    <row r="797" spans="2:6" ht="15.75" customHeight="1" x14ac:dyDescent="0.45">
      <c r="B797" s="143"/>
      <c r="C797" s="427"/>
      <c r="D797" s="143"/>
      <c r="E797" s="143"/>
      <c r="F797" s="143"/>
    </row>
    <row r="798" spans="2:6" ht="15.75" customHeight="1" x14ac:dyDescent="0.45">
      <c r="B798" s="143"/>
      <c r="C798" s="427"/>
      <c r="D798" s="143"/>
      <c r="E798" s="143"/>
      <c r="F798" s="143"/>
    </row>
    <row r="799" spans="2:6" ht="15.75" customHeight="1" x14ac:dyDescent="0.45">
      <c r="B799" s="143"/>
      <c r="C799" s="427"/>
      <c r="D799" s="143"/>
      <c r="E799" s="143"/>
      <c r="F799" s="143"/>
    </row>
    <row r="800" spans="2:6" ht="15.75" customHeight="1" x14ac:dyDescent="0.45">
      <c r="B800" s="143"/>
      <c r="C800" s="427"/>
      <c r="D800" s="143"/>
      <c r="E800" s="143"/>
      <c r="F800" s="143"/>
    </row>
    <row r="801" spans="2:6" ht="15.75" customHeight="1" x14ac:dyDescent="0.45">
      <c r="B801" s="143"/>
      <c r="C801" s="427"/>
      <c r="D801" s="143"/>
      <c r="E801" s="143"/>
      <c r="F801" s="143"/>
    </row>
    <row r="802" spans="2:6" ht="15.75" customHeight="1" x14ac:dyDescent="0.45">
      <c r="B802" s="143"/>
      <c r="C802" s="427"/>
      <c r="D802" s="143"/>
      <c r="E802" s="143"/>
      <c r="F802" s="143"/>
    </row>
    <row r="803" spans="2:6" ht="15.75" customHeight="1" x14ac:dyDescent="0.45">
      <c r="B803" s="143"/>
      <c r="C803" s="427"/>
      <c r="D803" s="143"/>
      <c r="E803" s="143"/>
      <c r="F803" s="143"/>
    </row>
    <row r="804" spans="2:6" ht="15.75" customHeight="1" x14ac:dyDescent="0.45">
      <c r="B804" s="143"/>
      <c r="C804" s="427"/>
      <c r="D804" s="143"/>
      <c r="E804" s="143"/>
      <c r="F804" s="143"/>
    </row>
    <row r="805" spans="2:6" ht="15.75" customHeight="1" x14ac:dyDescent="0.45">
      <c r="B805" s="143"/>
      <c r="C805" s="427"/>
      <c r="D805" s="143"/>
      <c r="E805" s="143"/>
      <c r="F805" s="143"/>
    </row>
    <row r="806" spans="2:6" ht="15.75" customHeight="1" x14ac:dyDescent="0.45">
      <c r="B806" s="143"/>
      <c r="C806" s="427"/>
      <c r="D806" s="143"/>
      <c r="E806" s="143"/>
      <c r="F806" s="143"/>
    </row>
    <row r="807" spans="2:6" ht="15.75" customHeight="1" x14ac:dyDescent="0.45">
      <c r="B807" s="143"/>
      <c r="C807" s="427"/>
      <c r="D807" s="143"/>
      <c r="E807" s="143"/>
      <c r="F807" s="143"/>
    </row>
    <row r="808" spans="2:6" ht="15.75" customHeight="1" x14ac:dyDescent="0.45">
      <c r="B808" s="143"/>
      <c r="C808" s="427"/>
      <c r="D808" s="143"/>
      <c r="E808" s="143"/>
      <c r="F808" s="143"/>
    </row>
    <row r="809" spans="2:6" ht="15.75" customHeight="1" x14ac:dyDescent="0.45">
      <c r="B809" s="143"/>
      <c r="C809" s="427"/>
      <c r="D809" s="143"/>
      <c r="E809" s="143"/>
      <c r="F809" s="143"/>
    </row>
    <row r="810" spans="2:6" ht="15.75" customHeight="1" x14ac:dyDescent="0.45">
      <c r="B810" s="143"/>
      <c r="C810" s="427"/>
      <c r="D810" s="143"/>
      <c r="E810" s="143"/>
      <c r="F810" s="143"/>
    </row>
    <row r="811" spans="2:6" ht="15.75" customHeight="1" x14ac:dyDescent="0.45">
      <c r="B811" s="143"/>
      <c r="C811" s="427"/>
      <c r="D811" s="143"/>
      <c r="E811" s="143"/>
      <c r="F811" s="143"/>
    </row>
    <row r="812" spans="2:6" ht="15.75" customHeight="1" x14ac:dyDescent="0.45">
      <c r="B812" s="143"/>
      <c r="C812" s="427"/>
      <c r="D812" s="143"/>
      <c r="E812" s="143"/>
      <c r="F812" s="143"/>
    </row>
    <row r="813" spans="2:6" ht="15.75" customHeight="1" x14ac:dyDescent="0.45">
      <c r="B813" s="143"/>
      <c r="C813" s="427"/>
      <c r="D813" s="143"/>
      <c r="E813" s="143"/>
      <c r="F813" s="143"/>
    </row>
    <row r="814" spans="2:6" ht="15.75" customHeight="1" x14ac:dyDescent="0.45">
      <c r="B814" s="143"/>
      <c r="C814" s="427"/>
      <c r="D814" s="143"/>
      <c r="E814" s="143"/>
      <c r="F814" s="143"/>
    </row>
    <row r="815" spans="2:6" ht="15.75" customHeight="1" x14ac:dyDescent="0.45">
      <c r="B815" s="143"/>
      <c r="C815" s="427"/>
      <c r="D815" s="143"/>
      <c r="E815" s="143"/>
      <c r="F815" s="143"/>
    </row>
    <row r="816" spans="2:6" ht="15.75" customHeight="1" x14ac:dyDescent="0.45">
      <c r="B816" s="143"/>
      <c r="C816" s="427"/>
      <c r="D816" s="143"/>
      <c r="E816" s="143"/>
      <c r="F816" s="143"/>
    </row>
    <row r="817" spans="2:6" ht="15.75" customHeight="1" x14ac:dyDescent="0.45">
      <c r="B817" s="143"/>
      <c r="C817" s="427"/>
      <c r="D817" s="143"/>
      <c r="E817" s="143"/>
      <c r="F817" s="143"/>
    </row>
    <row r="818" spans="2:6" ht="15.75" customHeight="1" x14ac:dyDescent="0.45">
      <c r="B818" s="143"/>
      <c r="C818" s="427"/>
      <c r="D818" s="143"/>
      <c r="E818" s="143"/>
      <c r="F818" s="143"/>
    </row>
    <row r="819" spans="2:6" ht="15.75" customHeight="1" x14ac:dyDescent="0.45">
      <c r="B819" s="143"/>
      <c r="C819" s="427"/>
      <c r="D819" s="143"/>
      <c r="E819" s="143"/>
      <c r="F819" s="143"/>
    </row>
    <row r="820" spans="2:6" ht="15.75" customHeight="1" x14ac:dyDescent="0.45">
      <c r="B820" s="143"/>
      <c r="C820" s="427"/>
      <c r="D820" s="143"/>
      <c r="E820" s="143"/>
      <c r="F820" s="143"/>
    </row>
    <row r="821" spans="2:6" ht="15.75" customHeight="1" x14ac:dyDescent="0.45">
      <c r="B821" s="143"/>
      <c r="C821" s="427"/>
      <c r="D821" s="143"/>
      <c r="E821" s="143"/>
      <c r="F821" s="143"/>
    </row>
    <row r="822" spans="2:6" ht="15.75" customHeight="1" x14ac:dyDescent="0.45">
      <c r="B822" s="143"/>
      <c r="C822" s="427"/>
      <c r="D822" s="143"/>
      <c r="E822" s="143"/>
      <c r="F822" s="143"/>
    </row>
    <row r="823" spans="2:6" ht="15.75" customHeight="1" x14ac:dyDescent="0.45">
      <c r="B823" s="143"/>
      <c r="C823" s="427"/>
      <c r="D823" s="143"/>
      <c r="E823" s="143"/>
      <c r="F823" s="143"/>
    </row>
    <row r="824" spans="2:6" ht="15.75" customHeight="1" x14ac:dyDescent="0.45">
      <c r="B824" s="143"/>
      <c r="C824" s="427"/>
      <c r="D824" s="143"/>
      <c r="E824" s="143"/>
      <c r="F824" s="143"/>
    </row>
    <row r="825" spans="2:6" ht="15.75" customHeight="1" x14ac:dyDescent="0.45">
      <c r="B825" s="143"/>
      <c r="C825" s="427"/>
      <c r="D825" s="143"/>
      <c r="E825" s="143"/>
      <c r="F825" s="143"/>
    </row>
    <row r="826" spans="2:6" ht="15.75" customHeight="1" x14ac:dyDescent="0.45">
      <c r="B826" s="143"/>
      <c r="C826" s="427"/>
      <c r="D826" s="143"/>
      <c r="E826" s="143"/>
      <c r="F826" s="143"/>
    </row>
    <row r="827" spans="2:6" ht="15.75" customHeight="1" x14ac:dyDescent="0.45">
      <c r="B827" s="143"/>
      <c r="C827" s="427"/>
      <c r="D827" s="143"/>
      <c r="E827" s="143"/>
      <c r="F827" s="143"/>
    </row>
    <row r="828" spans="2:6" ht="15.75" customHeight="1" x14ac:dyDescent="0.45">
      <c r="B828" s="143"/>
      <c r="C828" s="427"/>
      <c r="D828" s="143"/>
      <c r="E828" s="143"/>
      <c r="F828" s="143"/>
    </row>
    <row r="829" spans="2:6" ht="15.75" customHeight="1" x14ac:dyDescent="0.45">
      <c r="B829" s="143"/>
      <c r="C829" s="427"/>
      <c r="D829" s="143"/>
      <c r="E829" s="143"/>
      <c r="F829" s="143"/>
    </row>
    <row r="830" spans="2:6" ht="15.75" customHeight="1" x14ac:dyDescent="0.45">
      <c r="B830" s="143"/>
      <c r="C830" s="427"/>
      <c r="D830" s="143"/>
      <c r="E830" s="143"/>
      <c r="F830" s="143"/>
    </row>
    <row r="831" spans="2:6" ht="15.75" customHeight="1" x14ac:dyDescent="0.45">
      <c r="B831" s="143"/>
      <c r="C831" s="427"/>
      <c r="D831" s="143"/>
      <c r="E831" s="143"/>
      <c r="F831" s="143"/>
    </row>
    <row r="832" spans="2:6" ht="15.75" customHeight="1" x14ac:dyDescent="0.45">
      <c r="B832" s="143"/>
      <c r="C832" s="427"/>
      <c r="D832" s="143"/>
      <c r="E832" s="143"/>
      <c r="F832" s="143"/>
    </row>
    <row r="833" spans="2:6" ht="15.75" customHeight="1" x14ac:dyDescent="0.45">
      <c r="B833" s="143"/>
      <c r="C833" s="427"/>
      <c r="D833" s="143"/>
      <c r="E833" s="143"/>
      <c r="F833" s="143"/>
    </row>
    <row r="834" spans="2:6" ht="15.75" customHeight="1" x14ac:dyDescent="0.45">
      <c r="B834" s="143"/>
      <c r="C834" s="427"/>
      <c r="D834" s="143"/>
      <c r="E834" s="143"/>
      <c r="F834" s="143"/>
    </row>
    <row r="835" spans="2:6" ht="15.75" customHeight="1" x14ac:dyDescent="0.45">
      <c r="B835" s="143"/>
      <c r="C835" s="427"/>
      <c r="D835" s="143"/>
      <c r="E835" s="143"/>
      <c r="F835" s="143"/>
    </row>
    <row r="836" spans="2:6" ht="15.75" customHeight="1" x14ac:dyDescent="0.45">
      <c r="B836" s="143"/>
      <c r="C836" s="427"/>
      <c r="D836" s="143"/>
      <c r="E836" s="143"/>
      <c r="F836" s="143"/>
    </row>
    <row r="837" spans="2:6" ht="15.75" customHeight="1" x14ac:dyDescent="0.45">
      <c r="B837" s="143"/>
      <c r="C837" s="427"/>
      <c r="D837" s="143"/>
      <c r="E837" s="143"/>
      <c r="F837" s="143"/>
    </row>
    <row r="838" spans="2:6" ht="15.75" customHeight="1" x14ac:dyDescent="0.45">
      <c r="B838" s="143"/>
      <c r="C838" s="427"/>
      <c r="D838" s="143"/>
      <c r="E838" s="143"/>
      <c r="F838" s="143"/>
    </row>
    <row r="839" spans="2:6" ht="15.75" customHeight="1" x14ac:dyDescent="0.45">
      <c r="B839" s="143"/>
      <c r="C839" s="427"/>
      <c r="D839" s="143"/>
      <c r="E839" s="143"/>
      <c r="F839" s="143"/>
    </row>
    <row r="840" spans="2:6" ht="15.75" customHeight="1" x14ac:dyDescent="0.45">
      <c r="B840" s="143"/>
      <c r="C840" s="427"/>
      <c r="D840" s="143"/>
      <c r="E840" s="143"/>
      <c r="F840" s="143"/>
    </row>
    <row r="841" spans="2:6" ht="15.75" customHeight="1" x14ac:dyDescent="0.45">
      <c r="B841" s="143"/>
      <c r="C841" s="427"/>
      <c r="D841" s="143"/>
      <c r="E841" s="143"/>
      <c r="F841" s="143"/>
    </row>
    <row r="842" spans="2:6" ht="15.75" customHeight="1" x14ac:dyDescent="0.45">
      <c r="B842" s="143"/>
      <c r="C842" s="427"/>
      <c r="D842" s="143"/>
      <c r="E842" s="143"/>
      <c r="F842" s="143"/>
    </row>
    <row r="843" spans="2:6" ht="15.75" customHeight="1" x14ac:dyDescent="0.45">
      <c r="B843" s="143"/>
      <c r="C843" s="427"/>
      <c r="D843" s="143"/>
      <c r="E843" s="143"/>
      <c r="F843" s="143"/>
    </row>
    <row r="844" spans="2:6" ht="15.75" customHeight="1" x14ac:dyDescent="0.45">
      <c r="B844" s="143"/>
      <c r="C844" s="427"/>
      <c r="D844" s="143"/>
      <c r="E844" s="143"/>
      <c r="F844" s="143"/>
    </row>
    <row r="845" spans="2:6" ht="15.75" customHeight="1" x14ac:dyDescent="0.45">
      <c r="B845" s="143"/>
      <c r="C845" s="427"/>
      <c r="D845" s="143"/>
      <c r="E845" s="143"/>
      <c r="F845" s="143"/>
    </row>
    <row r="846" spans="2:6" ht="15.75" customHeight="1" x14ac:dyDescent="0.45">
      <c r="B846" s="143"/>
      <c r="C846" s="427"/>
      <c r="D846" s="143"/>
      <c r="E846" s="143"/>
      <c r="F846" s="143"/>
    </row>
    <row r="847" spans="2:6" ht="15.75" customHeight="1" x14ac:dyDescent="0.45">
      <c r="B847" s="143"/>
      <c r="C847" s="427"/>
      <c r="D847" s="143"/>
      <c r="E847" s="143"/>
      <c r="F847" s="143"/>
    </row>
    <row r="848" spans="2:6" ht="15.75" customHeight="1" x14ac:dyDescent="0.45">
      <c r="B848" s="143"/>
      <c r="C848" s="427"/>
      <c r="D848" s="143"/>
      <c r="E848" s="143"/>
      <c r="F848" s="143"/>
    </row>
    <row r="849" spans="2:6" ht="15.75" customHeight="1" x14ac:dyDescent="0.45">
      <c r="B849" s="143"/>
      <c r="C849" s="427"/>
      <c r="D849" s="143"/>
      <c r="E849" s="143"/>
      <c r="F849" s="143"/>
    </row>
    <row r="850" spans="2:6" ht="15.75" customHeight="1" x14ac:dyDescent="0.45">
      <c r="B850" s="143"/>
      <c r="C850" s="427"/>
      <c r="D850" s="143"/>
      <c r="E850" s="143"/>
      <c r="F850" s="143"/>
    </row>
    <row r="851" spans="2:6" ht="15.75" customHeight="1" x14ac:dyDescent="0.45">
      <c r="B851" s="143"/>
      <c r="C851" s="427"/>
      <c r="D851" s="143"/>
      <c r="E851" s="143"/>
      <c r="F851" s="143"/>
    </row>
    <row r="852" spans="2:6" ht="15.75" customHeight="1" x14ac:dyDescent="0.45">
      <c r="B852" s="143"/>
      <c r="C852" s="427"/>
      <c r="D852" s="143"/>
      <c r="E852" s="143"/>
      <c r="F852" s="143"/>
    </row>
    <row r="853" spans="2:6" ht="15.75" customHeight="1" x14ac:dyDescent="0.45">
      <c r="B853" s="143"/>
      <c r="C853" s="427"/>
      <c r="D853" s="143"/>
      <c r="E853" s="143"/>
      <c r="F853" s="143"/>
    </row>
    <row r="854" spans="2:6" ht="15.75" customHeight="1" x14ac:dyDescent="0.45">
      <c r="B854" s="143"/>
      <c r="C854" s="427"/>
      <c r="D854" s="143"/>
      <c r="E854" s="143"/>
      <c r="F854" s="143"/>
    </row>
    <row r="855" spans="2:6" ht="15.75" customHeight="1" x14ac:dyDescent="0.45">
      <c r="B855" s="143"/>
      <c r="C855" s="427"/>
      <c r="D855" s="143"/>
      <c r="E855" s="143"/>
      <c r="F855" s="143"/>
    </row>
    <row r="856" spans="2:6" ht="15.75" customHeight="1" x14ac:dyDescent="0.45">
      <c r="B856" s="143"/>
      <c r="C856" s="427"/>
      <c r="D856" s="143"/>
      <c r="E856" s="143"/>
      <c r="F856" s="143"/>
    </row>
    <row r="857" spans="2:6" ht="15.75" customHeight="1" x14ac:dyDescent="0.45">
      <c r="B857" s="143"/>
      <c r="C857" s="427"/>
      <c r="D857" s="143"/>
      <c r="E857" s="143"/>
      <c r="F857" s="143"/>
    </row>
    <row r="858" spans="2:6" ht="15.75" customHeight="1" x14ac:dyDescent="0.45">
      <c r="B858" s="143"/>
      <c r="C858" s="427"/>
      <c r="D858" s="143"/>
      <c r="E858" s="143"/>
      <c r="F858" s="143"/>
    </row>
    <row r="859" spans="2:6" ht="15.75" customHeight="1" x14ac:dyDescent="0.45">
      <c r="B859" s="143"/>
      <c r="C859" s="427"/>
      <c r="D859" s="143"/>
      <c r="E859" s="143"/>
      <c r="F859" s="143"/>
    </row>
    <row r="860" spans="2:6" ht="15.75" customHeight="1" x14ac:dyDescent="0.45">
      <c r="B860" s="143"/>
      <c r="C860" s="427"/>
      <c r="D860" s="143"/>
      <c r="E860" s="143"/>
      <c r="F860" s="143"/>
    </row>
    <row r="861" spans="2:6" ht="15.75" customHeight="1" x14ac:dyDescent="0.45">
      <c r="B861" s="143"/>
      <c r="C861" s="427"/>
      <c r="D861" s="143"/>
      <c r="E861" s="143"/>
      <c r="F861" s="143"/>
    </row>
    <row r="862" spans="2:6" ht="15.75" customHeight="1" x14ac:dyDescent="0.45">
      <c r="B862" s="143"/>
      <c r="C862" s="427"/>
      <c r="D862" s="143"/>
      <c r="E862" s="143"/>
      <c r="F862" s="143"/>
    </row>
    <row r="863" spans="2:6" ht="15.75" customHeight="1" x14ac:dyDescent="0.45">
      <c r="B863" s="143"/>
      <c r="C863" s="427"/>
      <c r="D863" s="143"/>
      <c r="E863" s="143"/>
      <c r="F863" s="143"/>
    </row>
    <row r="864" spans="2:6" ht="15.75" customHeight="1" x14ac:dyDescent="0.45">
      <c r="B864" s="143"/>
      <c r="C864" s="427"/>
      <c r="D864" s="143"/>
      <c r="E864" s="143"/>
      <c r="F864" s="143"/>
    </row>
    <row r="865" spans="2:6" ht="15.75" customHeight="1" x14ac:dyDescent="0.45">
      <c r="B865" s="143"/>
      <c r="C865" s="427"/>
      <c r="D865" s="143"/>
      <c r="E865" s="143"/>
      <c r="F865" s="143"/>
    </row>
    <row r="866" spans="2:6" ht="15.75" customHeight="1" x14ac:dyDescent="0.45">
      <c r="B866" s="143"/>
      <c r="C866" s="427"/>
      <c r="D866" s="143"/>
      <c r="E866" s="143"/>
      <c r="F866" s="143"/>
    </row>
    <row r="867" spans="2:6" ht="15.75" customHeight="1" x14ac:dyDescent="0.45">
      <c r="B867" s="143"/>
      <c r="C867" s="427"/>
      <c r="D867" s="143"/>
      <c r="E867" s="143"/>
      <c r="F867" s="143"/>
    </row>
    <row r="868" spans="2:6" ht="15.75" customHeight="1" x14ac:dyDescent="0.45">
      <c r="B868" s="143"/>
      <c r="C868" s="427"/>
      <c r="D868" s="143"/>
      <c r="E868" s="143"/>
      <c r="F868" s="143"/>
    </row>
    <row r="869" spans="2:6" ht="15.75" customHeight="1" x14ac:dyDescent="0.45">
      <c r="B869" s="143"/>
      <c r="C869" s="427"/>
      <c r="D869" s="143"/>
      <c r="E869" s="143"/>
      <c r="F869" s="143"/>
    </row>
    <row r="870" spans="2:6" ht="15.75" customHeight="1" x14ac:dyDescent="0.45">
      <c r="B870" s="143"/>
      <c r="C870" s="427"/>
      <c r="D870" s="143"/>
      <c r="E870" s="143"/>
      <c r="F870" s="143"/>
    </row>
    <row r="871" spans="2:6" ht="15.75" customHeight="1" x14ac:dyDescent="0.45">
      <c r="B871" s="143"/>
      <c r="C871" s="427"/>
      <c r="D871" s="143"/>
      <c r="E871" s="143"/>
      <c r="F871" s="143"/>
    </row>
    <row r="872" spans="2:6" ht="15.75" customHeight="1" x14ac:dyDescent="0.45">
      <c r="B872" s="143"/>
      <c r="C872" s="427"/>
      <c r="D872" s="143"/>
      <c r="E872" s="143"/>
      <c r="F872" s="143"/>
    </row>
    <row r="873" spans="2:6" ht="15.75" customHeight="1" x14ac:dyDescent="0.45">
      <c r="B873" s="143"/>
      <c r="C873" s="427"/>
      <c r="D873" s="143"/>
      <c r="E873" s="143"/>
      <c r="F873" s="143"/>
    </row>
    <row r="874" spans="2:6" ht="15.75" customHeight="1" x14ac:dyDescent="0.45">
      <c r="B874" s="143"/>
      <c r="C874" s="427"/>
      <c r="D874" s="143"/>
      <c r="E874" s="143"/>
      <c r="F874" s="143"/>
    </row>
    <row r="875" spans="2:6" ht="15.75" customHeight="1" x14ac:dyDescent="0.45">
      <c r="B875" s="143"/>
      <c r="C875" s="427"/>
      <c r="D875" s="143"/>
      <c r="E875" s="143"/>
      <c r="F875" s="143"/>
    </row>
    <row r="876" spans="2:6" ht="15.75" customHeight="1" x14ac:dyDescent="0.45">
      <c r="B876" s="143"/>
      <c r="C876" s="427"/>
      <c r="D876" s="143"/>
      <c r="E876" s="143"/>
      <c r="F876" s="143"/>
    </row>
    <row r="877" spans="2:6" ht="15.75" customHeight="1" x14ac:dyDescent="0.45">
      <c r="B877" s="143"/>
      <c r="C877" s="427"/>
      <c r="D877" s="143"/>
      <c r="E877" s="143"/>
      <c r="F877" s="143"/>
    </row>
    <row r="878" spans="2:6" ht="15.75" customHeight="1" x14ac:dyDescent="0.45">
      <c r="B878" s="143"/>
      <c r="C878" s="427"/>
      <c r="D878" s="143"/>
      <c r="E878" s="143"/>
      <c r="F878" s="143"/>
    </row>
    <row r="879" spans="2:6" ht="15.75" customHeight="1" x14ac:dyDescent="0.45">
      <c r="B879" s="143"/>
      <c r="C879" s="427"/>
      <c r="D879" s="143"/>
      <c r="E879" s="143"/>
      <c r="F879" s="143"/>
    </row>
    <row r="880" spans="2:6" ht="15.75" customHeight="1" x14ac:dyDescent="0.45">
      <c r="B880" s="143"/>
      <c r="C880" s="427"/>
      <c r="D880" s="143"/>
      <c r="E880" s="143"/>
      <c r="F880" s="143"/>
    </row>
    <row r="881" spans="2:6" ht="15.75" customHeight="1" x14ac:dyDescent="0.45">
      <c r="B881" s="143"/>
      <c r="C881" s="427"/>
      <c r="D881" s="143"/>
      <c r="E881" s="143"/>
      <c r="F881" s="143"/>
    </row>
    <row r="882" spans="2:6" ht="15.75" customHeight="1" x14ac:dyDescent="0.45">
      <c r="B882" s="143"/>
      <c r="C882" s="427"/>
      <c r="D882" s="143"/>
      <c r="E882" s="143"/>
      <c r="F882" s="143"/>
    </row>
    <row r="883" spans="2:6" ht="15.75" customHeight="1" x14ac:dyDescent="0.45">
      <c r="B883" s="143"/>
      <c r="C883" s="427"/>
      <c r="D883" s="143"/>
      <c r="E883" s="143"/>
      <c r="F883" s="143"/>
    </row>
    <row r="884" spans="2:6" ht="15.75" customHeight="1" x14ac:dyDescent="0.45">
      <c r="B884" s="143"/>
      <c r="C884" s="427"/>
      <c r="D884" s="143"/>
      <c r="E884" s="143"/>
      <c r="F884" s="143"/>
    </row>
    <row r="885" spans="2:6" ht="15.75" customHeight="1" x14ac:dyDescent="0.45">
      <c r="B885" s="143"/>
      <c r="C885" s="427"/>
      <c r="D885" s="143"/>
      <c r="E885" s="143"/>
      <c r="F885" s="143"/>
    </row>
    <row r="886" spans="2:6" ht="15.75" customHeight="1" x14ac:dyDescent="0.45">
      <c r="B886" s="143"/>
      <c r="C886" s="427"/>
      <c r="D886" s="143"/>
      <c r="E886" s="143"/>
      <c r="F886" s="143"/>
    </row>
    <row r="887" spans="2:6" ht="15.75" customHeight="1" x14ac:dyDescent="0.45">
      <c r="B887" s="143"/>
      <c r="C887" s="427"/>
      <c r="D887" s="143"/>
      <c r="E887" s="143"/>
      <c r="F887" s="143"/>
    </row>
    <row r="888" spans="2:6" ht="15.75" customHeight="1" x14ac:dyDescent="0.45">
      <c r="B888" s="143"/>
      <c r="C888" s="427"/>
      <c r="D888" s="143"/>
      <c r="E888" s="143"/>
      <c r="F888" s="143"/>
    </row>
    <row r="889" spans="2:6" ht="15.75" customHeight="1" x14ac:dyDescent="0.45">
      <c r="B889" s="143"/>
      <c r="C889" s="427"/>
      <c r="D889" s="143"/>
      <c r="E889" s="143"/>
      <c r="F889" s="143"/>
    </row>
    <row r="890" spans="2:6" ht="15.75" customHeight="1" x14ac:dyDescent="0.45">
      <c r="B890" s="143"/>
      <c r="C890" s="427"/>
      <c r="D890" s="143"/>
      <c r="E890" s="143"/>
      <c r="F890" s="143"/>
    </row>
    <row r="891" spans="2:6" ht="15.75" customHeight="1" x14ac:dyDescent="0.45">
      <c r="B891" s="143"/>
      <c r="C891" s="427"/>
      <c r="D891" s="143"/>
      <c r="E891" s="143"/>
      <c r="F891" s="143"/>
    </row>
    <row r="892" spans="2:6" ht="15.75" customHeight="1" x14ac:dyDescent="0.45">
      <c r="B892" s="143"/>
      <c r="C892" s="427"/>
      <c r="D892" s="143"/>
      <c r="E892" s="143"/>
      <c r="F892" s="143"/>
    </row>
    <row r="893" spans="2:6" ht="15.75" customHeight="1" x14ac:dyDescent="0.45">
      <c r="B893" s="143"/>
      <c r="C893" s="427"/>
      <c r="D893" s="143"/>
      <c r="E893" s="143"/>
      <c r="F893" s="143"/>
    </row>
    <row r="894" spans="2:6" ht="15.75" customHeight="1" x14ac:dyDescent="0.45">
      <c r="B894" s="143"/>
      <c r="C894" s="427"/>
      <c r="D894" s="143"/>
      <c r="E894" s="143"/>
      <c r="F894" s="143"/>
    </row>
    <row r="895" spans="2:6" ht="15.75" customHeight="1" x14ac:dyDescent="0.45">
      <c r="B895" s="143"/>
      <c r="C895" s="427"/>
      <c r="D895" s="143"/>
      <c r="E895" s="143"/>
      <c r="F895" s="143"/>
    </row>
    <row r="896" spans="2:6" ht="15.75" customHeight="1" x14ac:dyDescent="0.45">
      <c r="B896" s="143"/>
      <c r="C896" s="427"/>
      <c r="D896" s="143"/>
      <c r="E896" s="143"/>
      <c r="F896" s="143"/>
    </row>
    <row r="897" spans="2:6" ht="15.75" customHeight="1" x14ac:dyDescent="0.45">
      <c r="B897" s="143"/>
      <c r="C897" s="427"/>
      <c r="D897" s="143"/>
      <c r="E897" s="143"/>
      <c r="F897" s="143"/>
    </row>
    <row r="898" spans="2:6" ht="15.75" customHeight="1" x14ac:dyDescent="0.45">
      <c r="B898" s="143"/>
      <c r="C898" s="427"/>
      <c r="D898" s="143"/>
      <c r="E898" s="143"/>
      <c r="F898" s="143"/>
    </row>
    <row r="899" spans="2:6" ht="15.75" customHeight="1" x14ac:dyDescent="0.45">
      <c r="B899" s="143"/>
      <c r="C899" s="427"/>
      <c r="D899" s="143"/>
      <c r="E899" s="143"/>
      <c r="F899" s="143"/>
    </row>
    <row r="900" spans="2:6" ht="15.75" customHeight="1" x14ac:dyDescent="0.45">
      <c r="B900" s="143"/>
      <c r="C900" s="427"/>
      <c r="D900" s="143"/>
      <c r="E900" s="143"/>
      <c r="F900" s="143"/>
    </row>
    <row r="901" spans="2:6" ht="15.75" customHeight="1" x14ac:dyDescent="0.45">
      <c r="B901" s="143"/>
      <c r="C901" s="427"/>
      <c r="D901" s="143"/>
      <c r="E901" s="143"/>
      <c r="F901" s="143"/>
    </row>
    <row r="902" spans="2:6" ht="15.75" customHeight="1" x14ac:dyDescent="0.45">
      <c r="B902" s="143"/>
      <c r="C902" s="427"/>
      <c r="D902" s="143"/>
      <c r="E902" s="143"/>
      <c r="F902" s="143"/>
    </row>
    <row r="903" spans="2:6" ht="15.75" customHeight="1" x14ac:dyDescent="0.45">
      <c r="B903" s="143"/>
      <c r="C903" s="427"/>
      <c r="D903" s="143"/>
      <c r="E903" s="143"/>
      <c r="F903" s="143"/>
    </row>
    <row r="904" spans="2:6" ht="15.75" customHeight="1" x14ac:dyDescent="0.45">
      <c r="B904" s="143"/>
      <c r="C904" s="427"/>
      <c r="D904" s="143"/>
      <c r="E904" s="143"/>
      <c r="F904" s="143"/>
    </row>
    <row r="905" spans="2:6" ht="15.75" customHeight="1" x14ac:dyDescent="0.45">
      <c r="B905" s="143"/>
      <c r="C905" s="427"/>
      <c r="D905" s="143"/>
      <c r="E905" s="143"/>
      <c r="F905" s="143"/>
    </row>
    <row r="906" spans="2:6" ht="15.75" customHeight="1" x14ac:dyDescent="0.45">
      <c r="B906" s="143"/>
      <c r="C906" s="427"/>
      <c r="D906" s="143"/>
      <c r="E906" s="143"/>
      <c r="F906" s="143"/>
    </row>
    <row r="907" spans="2:6" ht="15.75" customHeight="1" x14ac:dyDescent="0.45">
      <c r="B907" s="143"/>
      <c r="C907" s="427"/>
      <c r="D907" s="143"/>
      <c r="E907" s="143"/>
      <c r="F907" s="143"/>
    </row>
    <row r="908" spans="2:6" ht="15.75" customHeight="1" x14ac:dyDescent="0.45">
      <c r="B908" s="143"/>
      <c r="C908" s="427"/>
      <c r="D908" s="143"/>
      <c r="E908" s="143"/>
      <c r="F908" s="143"/>
    </row>
    <row r="909" spans="2:6" ht="15.75" customHeight="1" x14ac:dyDescent="0.45">
      <c r="B909" s="143"/>
      <c r="C909" s="427"/>
      <c r="D909" s="143"/>
      <c r="E909" s="143"/>
      <c r="F909" s="143"/>
    </row>
    <row r="910" spans="2:6" ht="15.75" customHeight="1" x14ac:dyDescent="0.45">
      <c r="B910" s="143"/>
      <c r="C910" s="427"/>
      <c r="D910" s="143"/>
      <c r="E910" s="143"/>
      <c r="F910" s="143"/>
    </row>
    <row r="911" spans="2:6" ht="15.75" customHeight="1" x14ac:dyDescent="0.45">
      <c r="B911" s="143"/>
      <c r="C911" s="427"/>
      <c r="D911" s="143"/>
      <c r="E911" s="143"/>
      <c r="F911" s="143"/>
    </row>
    <row r="912" spans="2:6" ht="15.75" customHeight="1" x14ac:dyDescent="0.45">
      <c r="B912" s="143"/>
      <c r="C912" s="427"/>
      <c r="D912" s="143"/>
      <c r="E912" s="143"/>
      <c r="F912" s="143"/>
    </row>
    <row r="913" spans="2:6" ht="15.75" customHeight="1" x14ac:dyDescent="0.45">
      <c r="B913" s="143"/>
      <c r="C913" s="427"/>
      <c r="D913" s="143"/>
      <c r="E913" s="143"/>
      <c r="F913" s="143"/>
    </row>
    <row r="914" spans="2:6" ht="15.75" customHeight="1" x14ac:dyDescent="0.45">
      <c r="B914" s="143"/>
      <c r="C914" s="427"/>
      <c r="D914" s="143"/>
      <c r="E914" s="143"/>
      <c r="F914" s="143"/>
    </row>
    <row r="915" spans="2:6" ht="15.75" customHeight="1" x14ac:dyDescent="0.45">
      <c r="B915" s="143"/>
      <c r="C915" s="427"/>
      <c r="D915" s="143"/>
      <c r="E915" s="143"/>
      <c r="F915" s="143"/>
    </row>
    <row r="916" spans="2:6" ht="15.75" customHeight="1" x14ac:dyDescent="0.45">
      <c r="B916" s="143"/>
      <c r="C916" s="427"/>
      <c r="D916" s="143"/>
      <c r="E916" s="143"/>
      <c r="F916" s="143"/>
    </row>
    <row r="917" spans="2:6" ht="15.75" customHeight="1" x14ac:dyDescent="0.45">
      <c r="B917" s="143"/>
      <c r="C917" s="427"/>
      <c r="D917" s="143"/>
      <c r="E917" s="143"/>
      <c r="F917" s="143"/>
    </row>
    <row r="918" spans="2:6" ht="15.75" customHeight="1" x14ac:dyDescent="0.45">
      <c r="B918" s="143"/>
      <c r="C918" s="427"/>
      <c r="D918" s="143"/>
      <c r="E918" s="143"/>
      <c r="F918" s="143"/>
    </row>
    <row r="919" spans="2:6" ht="15.75" customHeight="1" x14ac:dyDescent="0.45">
      <c r="B919" s="143"/>
      <c r="C919" s="427"/>
      <c r="D919" s="143"/>
      <c r="E919" s="143"/>
      <c r="F919" s="143"/>
    </row>
    <row r="920" spans="2:6" ht="15.75" customHeight="1" x14ac:dyDescent="0.45">
      <c r="B920" s="143"/>
      <c r="C920" s="427"/>
      <c r="D920" s="143"/>
      <c r="E920" s="143"/>
      <c r="F920" s="143"/>
    </row>
    <row r="921" spans="2:6" ht="15.75" customHeight="1" x14ac:dyDescent="0.45">
      <c r="B921" s="143"/>
      <c r="C921" s="427"/>
      <c r="D921" s="143"/>
      <c r="E921" s="143"/>
      <c r="F921" s="143"/>
    </row>
    <row r="922" spans="2:6" ht="15.75" customHeight="1" x14ac:dyDescent="0.45">
      <c r="B922" s="143"/>
      <c r="C922" s="427"/>
      <c r="D922" s="143"/>
      <c r="E922" s="143"/>
      <c r="F922" s="143"/>
    </row>
    <row r="923" spans="2:6" ht="15.75" customHeight="1" x14ac:dyDescent="0.45">
      <c r="B923" s="143"/>
      <c r="C923" s="427"/>
      <c r="D923" s="143"/>
      <c r="E923" s="143"/>
      <c r="F923" s="143"/>
    </row>
    <row r="924" spans="2:6" ht="15.75" customHeight="1" x14ac:dyDescent="0.45">
      <c r="B924" s="143"/>
      <c r="C924" s="427"/>
      <c r="D924" s="143"/>
      <c r="E924" s="143"/>
      <c r="F924" s="143"/>
    </row>
    <row r="925" spans="2:6" ht="15.75" customHeight="1" x14ac:dyDescent="0.45">
      <c r="B925" s="143"/>
      <c r="C925" s="427"/>
      <c r="D925" s="143"/>
      <c r="E925" s="143"/>
      <c r="F925" s="143"/>
    </row>
    <row r="926" spans="2:6" ht="15.75" customHeight="1" x14ac:dyDescent="0.45">
      <c r="B926" s="143"/>
      <c r="C926" s="427"/>
      <c r="D926" s="143"/>
      <c r="E926" s="143"/>
      <c r="F926" s="143"/>
    </row>
    <row r="927" spans="2:6" ht="15.75" customHeight="1" x14ac:dyDescent="0.45">
      <c r="B927" s="143"/>
      <c r="C927" s="427"/>
      <c r="D927" s="143"/>
      <c r="E927" s="143"/>
      <c r="F927" s="143"/>
    </row>
    <row r="928" spans="2:6" ht="15.75" customHeight="1" x14ac:dyDescent="0.45">
      <c r="B928" s="143"/>
      <c r="C928" s="427"/>
      <c r="D928" s="143"/>
      <c r="E928" s="143"/>
      <c r="F928" s="143"/>
    </row>
    <row r="929" spans="2:6" ht="15.75" customHeight="1" x14ac:dyDescent="0.45">
      <c r="B929" s="143"/>
      <c r="C929" s="427"/>
      <c r="D929" s="143"/>
      <c r="E929" s="143"/>
      <c r="F929" s="143"/>
    </row>
    <row r="930" spans="2:6" ht="15.75" customHeight="1" x14ac:dyDescent="0.45">
      <c r="B930" s="143"/>
      <c r="C930" s="427"/>
      <c r="D930" s="143"/>
      <c r="E930" s="143"/>
      <c r="F930" s="143"/>
    </row>
    <row r="931" spans="2:6" ht="15.75" customHeight="1" x14ac:dyDescent="0.45">
      <c r="B931" s="143"/>
      <c r="C931" s="427"/>
      <c r="D931" s="143"/>
      <c r="E931" s="143"/>
      <c r="F931" s="143"/>
    </row>
    <row r="932" spans="2:6" ht="15.75" customHeight="1" x14ac:dyDescent="0.45">
      <c r="B932" s="143"/>
      <c r="C932" s="427"/>
      <c r="D932" s="143"/>
      <c r="E932" s="143"/>
      <c r="F932" s="143"/>
    </row>
    <row r="933" spans="2:6" ht="15.75" customHeight="1" x14ac:dyDescent="0.45">
      <c r="B933" s="143"/>
      <c r="C933" s="427"/>
      <c r="D933" s="143"/>
      <c r="E933" s="143"/>
      <c r="F933" s="143"/>
    </row>
    <row r="934" spans="2:6" ht="15.75" customHeight="1" x14ac:dyDescent="0.45">
      <c r="B934" s="143"/>
      <c r="C934" s="427"/>
      <c r="D934" s="143"/>
      <c r="E934" s="143"/>
      <c r="F934" s="143"/>
    </row>
    <row r="935" spans="2:6" ht="15.75" customHeight="1" x14ac:dyDescent="0.45">
      <c r="B935" s="143"/>
      <c r="C935" s="427"/>
      <c r="D935" s="143"/>
      <c r="E935" s="143"/>
      <c r="F935" s="143"/>
    </row>
    <row r="936" spans="2:6" ht="15.75" customHeight="1" x14ac:dyDescent="0.45">
      <c r="B936" s="143"/>
      <c r="C936" s="427"/>
      <c r="D936" s="143"/>
      <c r="E936" s="143"/>
      <c r="F936" s="143"/>
    </row>
    <row r="937" spans="2:6" ht="15.75" customHeight="1" x14ac:dyDescent="0.45">
      <c r="B937" s="143"/>
      <c r="C937" s="427"/>
      <c r="D937" s="143"/>
      <c r="E937" s="143"/>
      <c r="F937" s="143"/>
    </row>
    <row r="938" spans="2:6" ht="15.75" customHeight="1" x14ac:dyDescent="0.45">
      <c r="B938" s="143"/>
      <c r="C938" s="427"/>
      <c r="D938" s="143"/>
      <c r="E938" s="143"/>
      <c r="F938" s="143"/>
    </row>
    <row r="939" spans="2:6" ht="15.75" customHeight="1" x14ac:dyDescent="0.45">
      <c r="B939" s="143"/>
      <c r="C939" s="427"/>
      <c r="D939" s="143"/>
      <c r="E939" s="143"/>
      <c r="F939" s="143"/>
    </row>
    <row r="940" spans="2:6" ht="15.75" customHeight="1" x14ac:dyDescent="0.45">
      <c r="B940" s="143"/>
      <c r="C940" s="427"/>
      <c r="D940" s="143"/>
      <c r="E940" s="143"/>
      <c r="F940" s="143"/>
    </row>
    <row r="941" spans="2:6" ht="15.75" customHeight="1" x14ac:dyDescent="0.45">
      <c r="B941" s="143"/>
      <c r="C941" s="427"/>
      <c r="D941" s="143"/>
      <c r="E941" s="143"/>
      <c r="F941" s="143"/>
    </row>
    <row r="942" spans="2:6" ht="15.75" customHeight="1" x14ac:dyDescent="0.45">
      <c r="B942" s="143"/>
      <c r="C942" s="427"/>
      <c r="D942" s="143"/>
      <c r="E942" s="143"/>
      <c r="F942" s="143"/>
    </row>
    <row r="943" spans="2:6" ht="15.75" customHeight="1" x14ac:dyDescent="0.45">
      <c r="B943" s="143"/>
      <c r="C943" s="427"/>
      <c r="D943" s="143"/>
      <c r="E943" s="143"/>
      <c r="F943" s="143"/>
    </row>
    <row r="944" spans="2:6" ht="15.75" customHeight="1" x14ac:dyDescent="0.45">
      <c r="B944" s="143"/>
      <c r="C944" s="427"/>
      <c r="D944" s="143"/>
      <c r="E944" s="143"/>
      <c r="F944" s="143"/>
    </row>
    <row r="945" spans="2:6" ht="15.75" customHeight="1" x14ac:dyDescent="0.45">
      <c r="B945" s="143"/>
      <c r="C945" s="427"/>
      <c r="D945" s="143"/>
      <c r="E945" s="143"/>
      <c r="F945" s="143"/>
    </row>
    <row r="946" spans="2:6" ht="15.75" customHeight="1" x14ac:dyDescent="0.45">
      <c r="B946" s="143"/>
      <c r="C946" s="427"/>
      <c r="D946" s="143"/>
      <c r="E946" s="143"/>
      <c r="F946" s="143"/>
    </row>
    <row r="947" spans="2:6" ht="15.75" customHeight="1" x14ac:dyDescent="0.45">
      <c r="B947" s="143"/>
      <c r="C947" s="427"/>
      <c r="D947" s="143"/>
      <c r="E947" s="143"/>
      <c r="F947" s="143"/>
    </row>
    <row r="948" spans="2:6" ht="15.75" customHeight="1" x14ac:dyDescent="0.45">
      <c r="B948" s="143"/>
      <c r="C948" s="427"/>
      <c r="D948" s="143"/>
      <c r="E948" s="143"/>
      <c r="F948" s="143"/>
    </row>
    <row r="949" spans="2:6" ht="15.75" customHeight="1" x14ac:dyDescent="0.45">
      <c r="B949" s="143"/>
      <c r="C949" s="427"/>
      <c r="D949" s="143"/>
      <c r="E949" s="143"/>
      <c r="F949" s="143"/>
    </row>
    <row r="950" spans="2:6" ht="15.75" customHeight="1" x14ac:dyDescent="0.45">
      <c r="B950" s="143"/>
      <c r="C950" s="427"/>
      <c r="D950" s="143"/>
      <c r="E950" s="143"/>
      <c r="F950" s="143"/>
    </row>
    <row r="951" spans="2:6" ht="15.75" customHeight="1" x14ac:dyDescent="0.45">
      <c r="B951" s="143"/>
      <c r="C951" s="427"/>
      <c r="D951" s="143"/>
      <c r="E951" s="143"/>
      <c r="F951" s="143"/>
    </row>
    <row r="952" spans="2:6" ht="15.75" customHeight="1" x14ac:dyDescent="0.45">
      <c r="B952" s="143"/>
      <c r="C952" s="427"/>
      <c r="D952" s="143"/>
      <c r="E952" s="143"/>
      <c r="F952" s="143"/>
    </row>
    <row r="953" spans="2:6" ht="15.75" customHeight="1" x14ac:dyDescent="0.45">
      <c r="B953" s="143"/>
      <c r="C953" s="427"/>
      <c r="D953" s="143"/>
      <c r="E953" s="143"/>
      <c r="F953" s="143"/>
    </row>
    <row r="954" spans="2:6" ht="15.75" customHeight="1" x14ac:dyDescent="0.45">
      <c r="B954" s="143"/>
      <c r="C954" s="427"/>
      <c r="D954" s="143"/>
      <c r="E954" s="143"/>
      <c r="F954" s="143"/>
    </row>
    <row r="955" spans="2:6" ht="15.75" customHeight="1" x14ac:dyDescent="0.45">
      <c r="B955" s="143"/>
      <c r="C955" s="427"/>
      <c r="D955" s="143"/>
      <c r="E955" s="143"/>
      <c r="F955" s="143"/>
    </row>
    <row r="956" spans="2:6" ht="15.75" customHeight="1" x14ac:dyDescent="0.45">
      <c r="B956" s="143"/>
      <c r="C956" s="427"/>
      <c r="D956" s="143"/>
      <c r="E956" s="143"/>
      <c r="F956" s="143"/>
    </row>
    <row r="957" spans="2:6" ht="15.75" customHeight="1" x14ac:dyDescent="0.45">
      <c r="B957" s="143"/>
      <c r="C957" s="427"/>
      <c r="D957" s="143"/>
      <c r="E957" s="143"/>
      <c r="F957" s="143"/>
    </row>
    <row r="958" spans="2:6" ht="15.75" customHeight="1" x14ac:dyDescent="0.45">
      <c r="B958" s="143"/>
      <c r="C958" s="427"/>
      <c r="D958" s="143"/>
      <c r="E958" s="143"/>
      <c r="F958" s="143"/>
    </row>
    <row r="959" spans="2:6" ht="15.75" customHeight="1" x14ac:dyDescent="0.45">
      <c r="B959" s="143"/>
      <c r="C959" s="427"/>
      <c r="D959" s="143"/>
      <c r="E959" s="143"/>
      <c r="F959" s="143"/>
    </row>
    <row r="960" spans="2:6" ht="15.75" customHeight="1" x14ac:dyDescent="0.45">
      <c r="B960" s="143"/>
      <c r="C960" s="427"/>
      <c r="D960" s="143"/>
      <c r="E960" s="143"/>
      <c r="F960" s="143"/>
    </row>
    <row r="961" spans="2:6" ht="15.75" customHeight="1" x14ac:dyDescent="0.45">
      <c r="B961" s="143"/>
      <c r="C961" s="427"/>
      <c r="D961" s="143"/>
      <c r="E961" s="143"/>
      <c r="F961" s="143"/>
    </row>
    <row r="962" spans="2:6" ht="15.75" customHeight="1" x14ac:dyDescent="0.45">
      <c r="B962" s="143"/>
      <c r="C962" s="427"/>
      <c r="D962" s="143"/>
      <c r="E962" s="143"/>
      <c r="F962" s="143"/>
    </row>
    <row r="963" spans="2:6" ht="15.75" customHeight="1" x14ac:dyDescent="0.45">
      <c r="B963" s="143"/>
      <c r="C963" s="427"/>
      <c r="D963" s="143"/>
      <c r="E963" s="143"/>
      <c r="F963" s="143"/>
    </row>
    <row r="964" spans="2:6" ht="15.75" customHeight="1" x14ac:dyDescent="0.45">
      <c r="B964" s="143"/>
      <c r="C964" s="427"/>
      <c r="D964" s="143"/>
      <c r="E964" s="143"/>
      <c r="F964" s="143"/>
    </row>
    <row r="965" spans="2:6" ht="15.75" customHeight="1" x14ac:dyDescent="0.45">
      <c r="B965" s="143"/>
      <c r="C965" s="427"/>
      <c r="D965" s="143"/>
      <c r="E965" s="143"/>
      <c r="F965" s="143"/>
    </row>
    <row r="966" spans="2:6" ht="15.75" customHeight="1" x14ac:dyDescent="0.45">
      <c r="B966" s="143"/>
      <c r="C966" s="427"/>
      <c r="D966" s="143"/>
      <c r="E966" s="143"/>
      <c r="F966" s="143"/>
    </row>
    <row r="967" spans="2:6" ht="15.75" customHeight="1" x14ac:dyDescent="0.45">
      <c r="B967" s="143"/>
      <c r="C967" s="427"/>
      <c r="D967" s="143"/>
      <c r="E967" s="143"/>
      <c r="F967" s="143"/>
    </row>
    <row r="968" spans="2:6" ht="15.75" customHeight="1" x14ac:dyDescent="0.45">
      <c r="B968" s="143"/>
      <c r="C968" s="427"/>
      <c r="D968" s="143"/>
      <c r="E968" s="143"/>
      <c r="F968" s="143"/>
    </row>
    <row r="969" spans="2:6" ht="15.75" customHeight="1" x14ac:dyDescent="0.45">
      <c r="B969" s="143"/>
      <c r="C969" s="427"/>
      <c r="D969" s="143"/>
      <c r="E969" s="143"/>
      <c r="F969" s="143"/>
    </row>
    <row r="970" spans="2:6" ht="15.75" customHeight="1" x14ac:dyDescent="0.45">
      <c r="B970" s="143"/>
      <c r="C970" s="427"/>
      <c r="D970" s="143"/>
      <c r="E970" s="143"/>
      <c r="F970" s="143"/>
    </row>
    <row r="971" spans="2:6" ht="15.75" customHeight="1" x14ac:dyDescent="0.45">
      <c r="B971" s="143"/>
      <c r="C971" s="427"/>
      <c r="D971" s="143"/>
      <c r="E971" s="143"/>
      <c r="F971" s="143"/>
    </row>
    <row r="972" spans="2:6" ht="15.75" customHeight="1" x14ac:dyDescent="0.45">
      <c r="B972" s="143"/>
      <c r="C972" s="427"/>
      <c r="D972" s="143"/>
      <c r="E972" s="143"/>
      <c r="F972" s="143"/>
    </row>
    <row r="973" spans="2:6" ht="15.75" customHeight="1" x14ac:dyDescent="0.45">
      <c r="B973" s="143"/>
      <c r="C973" s="427"/>
      <c r="D973" s="143"/>
      <c r="E973" s="143"/>
      <c r="F973" s="143"/>
    </row>
    <row r="974" spans="2:6" ht="15.75" customHeight="1" x14ac:dyDescent="0.45">
      <c r="B974" s="143"/>
      <c r="C974" s="427"/>
      <c r="D974" s="143"/>
      <c r="E974" s="143"/>
      <c r="F974" s="143"/>
    </row>
    <row r="975" spans="2:6" ht="15.75" customHeight="1" x14ac:dyDescent="0.45">
      <c r="B975" s="143"/>
      <c r="C975" s="427"/>
      <c r="D975" s="143"/>
      <c r="E975" s="143"/>
      <c r="F975" s="143"/>
    </row>
    <row r="976" spans="2:6" ht="15.75" customHeight="1" x14ac:dyDescent="0.45">
      <c r="B976" s="143"/>
      <c r="C976" s="427"/>
      <c r="D976" s="143"/>
      <c r="E976" s="143"/>
      <c r="F976" s="143"/>
    </row>
    <row r="977" spans="2:6" ht="15.75" customHeight="1" x14ac:dyDescent="0.45">
      <c r="B977" s="143"/>
      <c r="C977" s="427"/>
      <c r="D977" s="143"/>
      <c r="E977" s="143"/>
      <c r="F977" s="143"/>
    </row>
    <row r="978" spans="2:6" ht="15.75" customHeight="1" x14ac:dyDescent="0.45">
      <c r="B978" s="143"/>
      <c r="C978" s="427"/>
      <c r="D978" s="143"/>
      <c r="E978" s="143"/>
      <c r="F978" s="143"/>
    </row>
    <row r="979" spans="2:6" ht="15.75" customHeight="1" x14ac:dyDescent="0.45">
      <c r="B979" s="143"/>
      <c r="C979" s="427"/>
      <c r="D979" s="143"/>
      <c r="E979" s="143"/>
      <c r="F979" s="143"/>
    </row>
    <row r="980" spans="2:6" ht="15.75" customHeight="1" x14ac:dyDescent="0.45">
      <c r="B980" s="143"/>
      <c r="C980" s="427"/>
      <c r="D980" s="143"/>
      <c r="E980" s="143"/>
      <c r="F980" s="143"/>
    </row>
    <row r="981" spans="2:6" ht="15.75" customHeight="1" x14ac:dyDescent="0.45">
      <c r="B981" s="143"/>
      <c r="C981" s="427"/>
      <c r="D981" s="143"/>
      <c r="E981" s="143"/>
      <c r="F981" s="143"/>
    </row>
    <row r="982" spans="2:6" ht="15.75" customHeight="1" x14ac:dyDescent="0.45">
      <c r="B982" s="143"/>
      <c r="C982" s="427"/>
      <c r="D982" s="143"/>
      <c r="E982" s="143"/>
      <c r="F982" s="143"/>
    </row>
    <row r="983" spans="2:6" ht="15.75" customHeight="1" x14ac:dyDescent="0.45">
      <c r="B983" s="143"/>
      <c r="C983" s="427"/>
      <c r="D983" s="143"/>
      <c r="E983" s="143"/>
      <c r="F983" s="143"/>
    </row>
    <row r="984" spans="2:6" ht="15.75" customHeight="1" x14ac:dyDescent="0.45">
      <c r="B984" s="143"/>
      <c r="C984" s="427"/>
      <c r="D984" s="143"/>
      <c r="E984" s="143"/>
      <c r="F984" s="143"/>
    </row>
    <row r="985" spans="2:6" ht="15.75" customHeight="1" x14ac:dyDescent="0.45">
      <c r="B985" s="143"/>
      <c r="C985" s="427"/>
      <c r="D985" s="143"/>
      <c r="E985" s="143"/>
      <c r="F985" s="143"/>
    </row>
    <row r="986" spans="2:6" ht="15.75" customHeight="1" x14ac:dyDescent="0.45">
      <c r="B986" s="143"/>
      <c r="C986" s="427"/>
      <c r="D986" s="143"/>
      <c r="E986" s="143"/>
      <c r="F986" s="143"/>
    </row>
    <row r="987" spans="2:6" ht="15.75" customHeight="1" x14ac:dyDescent="0.45">
      <c r="B987" s="143"/>
      <c r="C987" s="427"/>
      <c r="D987" s="143"/>
      <c r="E987" s="143"/>
      <c r="F987" s="143"/>
    </row>
    <row r="988" spans="2:6" ht="15.75" customHeight="1" x14ac:dyDescent="0.45">
      <c r="B988" s="143"/>
      <c r="C988" s="427"/>
      <c r="D988" s="143"/>
      <c r="E988" s="143"/>
      <c r="F988" s="143"/>
    </row>
    <row r="989" spans="2:6" ht="15.75" customHeight="1" x14ac:dyDescent="0.45">
      <c r="B989" s="143"/>
      <c r="C989" s="427"/>
      <c r="D989" s="143"/>
      <c r="E989" s="143"/>
      <c r="F989" s="143"/>
    </row>
    <row r="990" spans="2:6" ht="15.75" customHeight="1" x14ac:dyDescent="0.45">
      <c r="B990" s="143"/>
      <c r="C990" s="427"/>
      <c r="D990" s="143"/>
      <c r="E990" s="143"/>
      <c r="F990" s="143"/>
    </row>
    <row r="991" spans="2:6" ht="15.75" customHeight="1" x14ac:dyDescent="0.45">
      <c r="B991" s="143"/>
      <c r="C991" s="427"/>
      <c r="D991" s="143"/>
      <c r="E991" s="143"/>
      <c r="F991" s="143"/>
    </row>
    <row r="992" spans="2:6" ht="15.75" customHeight="1" x14ac:dyDescent="0.45">
      <c r="B992" s="143"/>
      <c r="C992" s="427"/>
      <c r="D992" s="143"/>
      <c r="E992" s="143"/>
      <c r="F992" s="143"/>
    </row>
    <row r="993" spans="2:6" ht="15.75" customHeight="1" x14ac:dyDescent="0.45">
      <c r="B993" s="143"/>
      <c r="C993" s="427"/>
      <c r="D993" s="143"/>
      <c r="E993" s="143"/>
      <c r="F993" s="143"/>
    </row>
    <row r="994" spans="2:6" ht="15.75" customHeight="1" x14ac:dyDescent="0.45">
      <c r="B994" s="143"/>
      <c r="C994" s="427"/>
      <c r="D994" s="143"/>
      <c r="E994" s="143"/>
      <c r="F994" s="143"/>
    </row>
    <row r="995" spans="2:6" ht="15.75" customHeight="1" x14ac:dyDescent="0.45">
      <c r="B995" s="143"/>
      <c r="C995" s="427"/>
      <c r="D995" s="143"/>
      <c r="E995" s="143"/>
      <c r="F995" s="143"/>
    </row>
    <row r="996" spans="2:6" ht="15.75" customHeight="1" x14ac:dyDescent="0.45">
      <c r="B996" s="143"/>
      <c r="C996" s="427"/>
      <c r="D996" s="143"/>
      <c r="E996" s="143"/>
      <c r="F996" s="143"/>
    </row>
    <row r="997" spans="2:6" ht="15.75" customHeight="1" x14ac:dyDescent="0.45">
      <c r="B997" s="143"/>
      <c r="C997" s="427"/>
      <c r="D997" s="143"/>
      <c r="E997" s="143"/>
      <c r="F997" s="143"/>
    </row>
    <row r="998" spans="2:6" ht="15.75" customHeight="1" x14ac:dyDescent="0.45">
      <c r="B998" s="143"/>
      <c r="C998" s="427"/>
      <c r="D998" s="143"/>
      <c r="E998" s="143"/>
      <c r="F998" s="143"/>
    </row>
    <row r="999" spans="2:6" ht="15.75" customHeight="1" x14ac:dyDescent="0.45">
      <c r="B999" s="143"/>
      <c r="C999" s="427"/>
      <c r="D999" s="143"/>
      <c r="E999" s="143"/>
      <c r="F999" s="143"/>
    </row>
    <row r="1000" spans="2:6" ht="15.75" customHeight="1" x14ac:dyDescent="0.45">
      <c r="B1000" s="143"/>
      <c r="C1000" s="427"/>
      <c r="D1000" s="143"/>
      <c r="E1000" s="143"/>
      <c r="F1000" s="143"/>
    </row>
    <row r="1001" spans="2:6" ht="15.75" customHeight="1" x14ac:dyDescent="0.45">
      <c r="B1001" s="143"/>
      <c r="C1001" s="427"/>
      <c r="D1001" s="143"/>
      <c r="E1001" s="143"/>
      <c r="F1001" s="143"/>
    </row>
    <row r="1002" spans="2:6" ht="15.75" customHeight="1" x14ac:dyDescent="0.45">
      <c r="B1002" s="143"/>
      <c r="C1002" s="427"/>
      <c r="D1002" s="143"/>
      <c r="E1002" s="143"/>
      <c r="F1002" s="143"/>
    </row>
    <row r="1003" spans="2:6" ht="15.75" customHeight="1" x14ac:dyDescent="0.45">
      <c r="B1003" s="143"/>
      <c r="C1003" s="427"/>
      <c r="D1003" s="143"/>
      <c r="E1003" s="143"/>
      <c r="F1003" s="143"/>
    </row>
  </sheetData>
  <autoFilter ref="A1:A1003"/>
  <mergeCells count="10">
    <mergeCell ref="T159:T164"/>
    <mergeCell ref="B4:G5"/>
    <mergeCell ref="B64:B66"/>
    <mergeCell ref="C200:G200"/>
    <mergeCell ref="C203:G203"/>
    <mergeCell ref="B16:G23"/>
    <mergeCell ref="B29:B37"/>
    <mergeCell ref="B40:B44"/>
    <mergeCell ref="B45:B47"/>
    <mergeCell ref="B52:B54"/>
  </mergeCells>
  <pageMargins left="0.7" right="0.7" top="0.75" bottom="0.75" header="0" footer="0"/>
  <pageSetup fitToHeight="0" orientation="portrait" r:id="rId1"/>
  <headerFooter>
    <oddFooter>&amp;R&amp;P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listini!$A$1:$A$5</xm:f>
          </x14:formula1>
          <xm:sqref>J26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Z997"/>
  <sheetViews>
    <sheetView workbookViewId="0">
      <selection activeCell="E83" sqref="E83"/>
    </sheetView>
  </sheetViews>
  <sheetFormatPr defaultColWidth="11.140625" defaultRowHeight="15" customHeight="1" x14ac:dyDescent="0.45"/>
  <cols>
    <col min="1" max="1" width="38.640625" customWidth="1"/>
    <col min="2" max="2" width="4.640625" bestFit="1" customWidth="1"/>
    <col min="3" max="3" width="5.140625" customWidth="1"/>
    <col min="4" max="4" width="13" bestFit="1" customWidth="1"/>
    <col min="5" max="5" width="25.140625" bestFit="1" customWidth="1"/>
    <col min="6" max="6" width="2.35546875" customWidth="1"/>
    <col min="7" max="21" width="6.640625" customWidth="1"/>
    <col min="22" max="26" width="8.640625" customWidth="1"/>
  </cols>
  <sheetData>
    <row r="1" spans="1:26" ht="23.25" customHeight="1" x14ac:dyDescent="0.45">
      <c r="A1" s="42"/>
      <c r="B1" s="42"/>
      <c r="C1" s="42"/>
      <c r="D1" s="59"/>
      <c r="E1" s="290"/>
      <c r="F1" s="2"/>
      <c r="G1" s="2"/>
      <c r="H1" s="2"/>
      <c r="I1" s="2"/>
      <c r="J1" s="2"/>
      <c r="K1" s="2"/>
      <c r="L1" s="2"/>
      <c r="M1" s="2"/>
      <c r="N1" s="2"/>
      <c r="O1" s="2"/>
      <c r="P1" s="2"/>
      <c r="Q1" s="2"/>
      <c r="R1" s="2"/>
      <c r="S1" s="2"/>
      <c r="T1" s="2"/>
      <c r="U1" s="2"/>
      <c r="V1" s="2"/>
      <c r="W1" s="2"/>
      <c r="X1" s="2"/>
      <c r="Y1" s="2"/>
      <c r="Z1" s="2"/>
    </row>
    <row r="2" spans="1:26" ht="15.9" x14ac:dyDescent="0.45">
      <c r="A2" s="2"/>
      <c r="B2" s="2"/>
      <c r="C2" s="2"/>
      <c r="D2" s="2"/>
      <c r="E2" s="2"/>
      <c r="F2" s="2"/>
      <c r="G2" s="2"/>
      <c r="H2" s="2"/>
      <c r="I2" s="2"/>
      <c r="J2" s="2"/>
      <c r="K2" s="2"/>
      <c r="L2" s="2"/>
      <c r="M2" s="2"/>
      <c r="N2" s="2"/>
      <c r="O2" s="2"/>
      <c r="P2" s="2"/>
      <c r="Q2" s="2"/>
      <c r="R2" s="2"/>
      <c r="S2" s="2"/>
      <c r="T2" s="2"/>
      <c r="U2" s="2"/>
      <c r="V2" s="2"/>
      <c r="W2" s="2"/>
      <c r="X2" s="2"/>
      <c r="Y2" s="2"/>
      <c r="Z2" s="2"/>
    </row>
    <row r="3" spans="1:26" ht="15.9" x14ac:dyDescent="0.45">
      <c r="A3" s="3"/>
      <c r="B3" s="3"/>
      <c r="C3" s="3"/>
      <c r="D3" s="2"/>
      <c r="E3" s="4" t="str">
        <f>'Analisi preliminareTOTALI'!F3</f>
        <v>Data : 29/05/2025</v>
      </c>
      <c r="F3" s="2"/>
      <c r="G3" s="2"/>
      <c r="H3" s="2"/>
      <c r="I3" s="2"/>
      <c r="J3" s="2"/>
      <c r="K3" s="2"/>
      <c r="L3" s="2"/>
      <c r="M3" s="2"/>
      <c r="N3" s="2"/>
      <c r="O3" s="2"/>
      <c r="P3" s="2"/>
      <c r="Q3" s="2"/>
      <c r="R3" s="2"/>
      <c r="S3" s="2"/>
      <c r="T3" s="2"/>
      <c r="U3" s="2"/>
      <c r="V3" s="2"/>
      <c r="W3" s="2"/>
      <c r="X3" s="2"/>
      <c r="Y3" s="2"/>
      <c r="Z3" s="2"/>
    </row>
    <row r="4" spans="1:26" ht="15" customHeight="1" x14ac:dyDescent="0.45">
      <c r="A4" s="2"/>
      <c r="B4" s="5"/>
      <c r="C4" s="2"/>
      <c r="D4" s="2"/>
      <c r="E4" s="6" t="s">
        <v>0</v>
      </c>
      <c r="F4" s="2"/>
      <c r="G4" s="2"/>
      <c r="H4" s="2"/>
      <c r="I4" s="2"/>
      <c r="J4" s="2"/>
      <c r="K4" s="2"/>
      <c r="L4" s="2"/>
      <c r="M4" s="2"/>
      <c r="N4" s="2"/>
      <c r="O4" s="2"/>
      <c r="P4" s="2"/>
      <c r="Q4" s="2"/>
      <c r="R4" s="2"/>
      <c r="S4" s="2"/>
      <c r="T4" s="2"/>
      <c r="U4" s="2"/>
      <c r="V4" s="2"/>
      <c r="W4" s="2"/>
      <c r="X4" s="2"/>
      <c r="Y4" s="2"/>
      <c r="Z4" s="2"/>
    </row>
    <row r="5" spans="1:26" ht="21" customHeight="1" x14ac:dyDescent="0.45">
      <c r="A5" s="7"/>
      <c r="B5" s="2"/>
      <c r="C5" s="2"/>
      <c r="D5" s="2"/>
      <c r="E5" s="2"/>
      <c r="F5" s="2"/>
      <c r="G5" s="2"/>
      <c r="H5" s="2"/>
      <c r="I5" s="2"/>
      <c r="J5" s="2"/>
      <c r="K5" s="2"/>
      <c r="L5" s="2"/>
      <c r="M5" s="2"/>
      <c r="N5" s="2"/>
      <c r="O5" s="2"/>
      <c r="P5" s="2"/>
      <c r="Q5" s="2"/>
      <c r="R5" s="2"/>
      <c r="S5" s="2"/>
      <c r="T5" s="2"/>
      <c r="U5" s="2"/>
      <c r="V5" s="2"/>
      <c r="W5" s="2"/>
      <c r="X5" s="2"/>
      <c r="Y5" s="2"/>
      <c r="Z5" s="2"/>
    </row>
    <row r="6" spans="1:26" ht="15.9" x14ac:dyDescent="0.45">
      <c r="A6" s="60" t="s">
        <v>1</v>
      </c>
      <c r="B6" s="61"/>
      <c r="C6" s="61"/>
      <c r="D6" s="59"/>
      <c r="E6" s="290"/>
      <c r="F6" s="2"/>
      <c r="G6" s="2"/>
      <c r="H6" s="2"/>
      <c r="I6" s="2"/>
      <c r="J6" s="2"/>
      <c r="K6" s="2"/>
      <c r="L6" s="2"/>
      <c r="M6" s="2"/>
      <c r="N6" s="2"/>
      <c r="O6" s="2"/>
      <c r="P6" s="2"/>
      <c r="Q6" s="2"/>
      <c r="R6" s="2"/>
      <c r="S6" s="2"/>
      <c r="T6" s="2"/>
      <c r="U6" s="2"/>
      <c r="V6" s="2"/>
      <c r="W6" s="2"/>
      <c r="X6" s="2"/>
      <c r="Y6" s="2"/>
      <c r="Z6" s="2"/>
    </row>
    <row r="7" spans="1:26" ht="15.9" x14ac:dyDescent="0.45">
      <c r="A7" s="41"/>
      <c r="B7" s="34"/>
      <c r="C7" s="34"/>
      <c r="D7" s="2"/>
      <c r="E7" s="2"/>
      <c r="F7" s="2"/>
      <c r="G7" s="2"/>
      <c r="H7" s="2"/>
      <c r="I7" s="2"/>
      <c r="J7" s="2"/>
      <c r="K7" s="2"/>
      <c r="L7" s="2"/>
      <c r="M7" s="2"/>
      <c r="N7" s="2"/>
      <c r="O7" s="2"/>
      <c r="P7" s="2"/>
      <c r="Q7" s="2"/>
      <c r="R7" s="2"/>
      <c r="S7" s="2"/>
      <c r="T7" s="2"/>
      <c r="U7" s="2"/>
      <c r="V7" s="2"/>
      <c r="W7" s="2"/>
      <c r="X7" s="2"/>
      <c r="Y7" s="2"/>
      <c r="Z7" s="2"/>
    </row>
    <row r="8" spans="1:26" ht="15.9" x14ac:dyDescent="0.45">
      <c r="A8" s="33" t="str">
        <f>'Analisi preliminareTOTALI'!A8</f>
        <v>Cliente caso 04</v>
      </c>
      <c r="B8" s="14"/>
      <c r="C8" s="14"/>
      <c r="D8" s="16"/>
      <c r="E8" s="2"/>
      <c r="F8" s="2"/>
      <c r="G8" s="2"/>
      <c r="H8" s="2"/>
      <c r="I8" s="2"/>
      <c r="J8" s="2"/>
      <c r="K8" s="2"/>
      <c r="L8" s="2"/>
      <c r="M8" s="2"/>
      <c r="N8" s="2"/>
      <c r="O8" s="2"/>
      <c r="P8" s="2"/>
      <c r="Q8" s="2"/>
      <c r="R8" s="2"/>
      <c r="S8" s="2"/>
      <c r="T8" s="2"/>
      <c r="U8" s="2"/>
      <c r="V8" s="2"/>
      <c r="W8" s="2"/>
      <c r="X8" s="2"/>
      <c r="Y8" s="2"/>
      <c r="Z8" s="2"/>
    </row>
    <row r="9" spans="1:26" ht="15.9"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c r="Y9" s="2"/>
      <c r="Z9" s="2"/>
    </row>
    <row r="10" spans="1:26" ht="15.9" x14ac:dyDescent="0.45">
      <c r="A10" s="33" t="str">
        <f>'Analisi preliminareTOTALI'!A10</f>
        <v>Reggio Emilia (RE)</v>
      </c>
      <c r="B10" s="14"/>
      <c r="C10" s="14"/>
      <c r="D10" s="2"/>
      <c r="E10" s="2"/>
      <c r="F10" s="2"/>
      <c r="G10" s="2"/>
      <c r="H10" s="2"/>
      <c r="I10" s="2"/>
      <c r="J10" s="2"/>
      <c r="K10" s="2"/>
      <c r="L10" s="2"/>
      <c r="M10" s="2"/>
      <c r="N10" s="2"/>
      <c r="O10" s="2"/>
      <c r="P10" s="2"/>
      <c r="Q10" s="2"/>
      <c r="R10" s="2"/>
      <c r="S10" s="2"/>
      <c r="T10" s="2"/>
      <c r="U10" s="2"/>
      <c r="V10" s="2"/>
      <c r="W10" s="2"/>
      <c r="X10" s="2"/>
      <c r="Y10" s="2"/>
      <c r="Z10" s="2"/>
    </row>
    <row r="11" spans="1:26" ht="15.9" x14ac:dyDescent="0.45">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c r="Y11" s="2"/>
      <c r="Z11" s="2"/>
    </row>
    <row r="12" spans="1:26" ht="15.9" x14ac:dyDescent="0.45">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c r="Y12" s="2"/>
      <c r="Z12" s="2"/>
    </row>
    <row r="13" spans="1:26" ht="15.9" x14ac:dyDescent="0.45">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c r="Y13" s="2"/>
      <c r="Z13" s="2"/>
    </row>
    <row r="14" spans="1:26" ht="15.9" x14ac:dyDescent="0.45">
      <c r="A14" s="41"/>
      <c r="B14" s="34"/>
      <c r="C14" s="35"/>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45">
      <c r="A15" s="2"/>
      <c r="B15" s="325"/>
      <c r="C15" s="325"/>
      <c r="D15" s="2"/>
      <c r="E15" s="2"/>
      <c r="F15" s="2"/>
      <c r="G15" s="2"/>
      <c r="H15" s="2"/>
      <c r="I15" s="2"/>
      <c r="J15" s="2"/>
      <c r="K15" s="2"/>
      <c r="L15" s="2"/>
      <c r="M15" s="2"/>
      <c r="N15" s="2"/>
      <c r="O15" s="2"/>
      <c r="P15" s="2"/>
      <c r="Q15" s="2"/>
      <c r="R15" s="2"/>
      <c r="S15" s="2"/>
      <c r="T15" s="2"/>
      <c r="U15" s="2"/>
      <c r="V15" s="2"/>
      <c r="W15" s="2"/>
      <c r="X15" s="2"/>
      <c r="Y15" s="2"/>
      <c r="Z15" s="2"/>
    </row>
    <row r="16" spans="1:26" ht="15.9" x14ac:dyDescent="0.45">
      <c r="A16" s="36" t="s">
        <v>9</v>
      </c>
      <c r="B16" s="36" t="s">
        <v>10</v>
      </c>
      <c r="C16" s="36" t="s">
        <v>11</v>
      </c>
      <c r="D16" s="62" t="s">
        <v>12</v>
      </c>
      <c r="E16" s="62" t="s">
        <v>13</v>
      </c>
      <c r="F16" s="2"/>
      <c r="G16" s="2"/>
      <c r="H16" s="2"/>
      <c r="I16" s="2"/>
      <c r="J16" s="2"/>
      <c r="K16" s="2"/>
      <c r="L16" s="2"/>
      <c r="M16" s="2"/>
      <c r="N16" s="2"/>
      <c r="O16" s="2"/>
      <c r="P16" s="2"/>
      <c r="Q16" s="2"/>
      <c r="R16" s="2"/>
      <c r="S16" s="2"/>
      <c r="T16" s="2"/>
      <c r="U16" s="2"/>
      <c r="V16" s="2"/>
      <c r="W16" s="2"/>
      <c r="X16" s="2"/>
      <c r="Y16" s="2"/>
      <c r="Z16" s="2"/>
    </row>
    <row r="17" spans="1:26" ht="17.600000000000001" x14ac:dyDescent="0.45">
      <c r="A17" s="57"/>
      <c r="B17" s="57"/>
      <c r="C17" s="57"/>
      <c r="D17" s="3"/>
      <c r="E17" s="58"/>
      <c r="F17" s="2"/>
      <c r="G17" s="2"/>
      <c r="H17" s="2"/>
      <c r="I17" s="2"/>
      <c r="J17" s="2"/>
      <c r="K17" s="2"/>
      <c r="L17" s="2"/>
      <c r="M17" s="2"/>
      <c r="N17" s="2"/>
      <c r="O17" s="2"/>
      <c r="P17" s="2"/>
      <c r="Q17" s="2"/>
      <c r="R17" s="2"/>
      <c r="S17" s="2"/>
      <c r="T17" s="2"/>
      <c r="U17" s="2"/>
      <c r="V17" s="2"/>
      <c r="W17" s="2"/>
      <c r="X17" s="2"/>
      <c r="Y17" s="2"/>
      <c r="Z17" s="2"/>
    </row>
    <row r="18" spans="1:26" ht="20.6" thickBot="1" x14ac:dyDescent="0.5">
      <c r="A18" s="63" t="s">
        <v>285</v>
      </c>
      <c r="B18" s="59"/>
      <c r="C18" s="59"/>
      <c r="D18" s="64"/>
      <c r="E18" s="290"/>
      <c r="F18" s="2"/>
      <c r="G18" s="2"/>
      <c r="H18" s="2"/>
      <c r="I18" s="2"/>
      <c r="J18" s="2"/>
      <c r="K18" s="2"/>
      <c r="L18" s="2"/>
      <c r="M18" s="2"/>
      <c r="N18" s="2"/>
      <c r="O18" s="2"/>
      <c r="P18" s="2"/>
      <c r="Q18" s="2"/>
      <c r="R18" s="2"/>
      <c r="S18" s="2"/>
      <c r="T18" s="2"/>
      <c r="U18" s="2"/>
      <c r="V18" s="2"/>
      <c r="W18" s="2"/>
      <c r="X18" s="2"/>
      <c r="Y18" s="2"/>
      <c r="Z18" s="2"/>
    </row>
    <row r="19" spans="1:26" ht="16.3" thickBot="1" x14ac:dyDescent="0.5">
      <c r="A19" s="128" t="s">
        <v>286</v>
      </c>
      <c r="B19" s="129"/>
      <c r="C19" s="130"/>
      <c r="D19" s="131"/>
      <c r="E19" s="132"/>
      <c r="F19" s="2"/>
      <c r="G19" s="2"/>
      <c r="H19" s="2"/>
      <c r="I19" s="2"/>
      <c r="J19" s="2"/>
      <c r="K19" s="2"/>
      <c r="L19" s="2"/>
      <c r="M19" s="2"/>
      <c r="N19" s="2"/>
      <c r="O19" s="2"/>
      <c r="P19" s="2"/>
      <c r="Q19" s="2"/>
      <c r="R19" s="2"/>
      <c r="S19" s="2"/>
      <c r="T19" s="2"/>
      <c r="U19" s="2"/>
      <c r="V19" s="2"/>
      <c r="W19" s="2"/>
      <c r="X19" s="2"/>
      <c r="Y19" s="2"/>
      <c r="Z19" s="2"/>
    </row>
    <row r="20" spans="1:26" ht="113.15" x14ac:dyDescent="0.45">
      <c r="A20" s="37" t="s">
        <v>287</v>
      </c>
      <c r="B20" s="38" t="s">
        <v>63</v>
      </c>
      <c r="C20" s="39">
        <v>0</v>
      </c>
      <c r="D20" s="51">
        <v>28.32</v>
      </c>
      <c r="E20" s="40">
        <f t="shared" ref="E20:E43" si="0">D20*C20</f>
        <v>0</v>
      </c>
      <c r="F20" s="2"/>
      <c r="G20" s="2"/>
      <c r="H20" s="2"/>
      <c r="I20" s="2"/>
      <c r="J20" s="2"/>
      <c r="K20" s="2"/>
      <c r="L20" s="2"/>
      <c r="M20" s="2"/>
      <c r="N20" s="2"/>
      <c r="O20" s="2"/>
      <c r="P20" s="2"/>
      <c r="Q20" s="2"/>
      <c r="R20" s="2"/>
      <c r="S20" s="2"/>
      <c r="T20" s="2"/>
      <c r="U20" s="2"/>
      <c r="V20" s="2"/>
      <c r="W20" s="2"/>
      <c r="X20" s="2"/>
      <c r="Y20" s="2"/>
      <c r="Z20" s="2"/>
    </row>
    <row r="21" spans="1:26" ht="99" x14ac:dyDescent="0.45">
      <c r="A21" s="37" t="s">
        <v>288</v>
      </c>
      <c r="B21" s="38" t="s">
        <v>63</v>
      </c>
      <c r="C21" s="39">
        <v>0</v>
      </c>
      <c r="D21" s="51">
        <v>28.32</v>
      </c>
      <c r="E21" s="47">
        <f t="shared" si="0"/>
        <v>0</v>
      </c>
      <c r="F21" s="2"/>
      <c r="G21" s="2"/>
      <c r="H21" s="2"/>
      <c r="I21" s="2"/>
      <c r="J21" s="2"/>
      <c r="K21" s="2"/>
      <c r="L21" s="2"/>
      <c r="M21" s="2"/>
      <c r="N21" s="2"/>
      <c r="O21" s="2"/>
      <c r="P21" s="2"/>
      <c r="Q21" s="2"/>
      <c r="R21" s="2"/>
      <c r="S21" s="2"/>
      <c r="T21" s="2"/>
      <c r="U21" s="2"/>
      <c r="V21" s="2"/>
      <c r="W21" s="2"/>
      <c r="X21" s="2"/>
      <c r="Y21" s="2"/>
      <c r="Z21" s="2"/>
    </row>
    <row r="22" spans="1:26" ht="113.15" x14ac:dyDescent="0.45">
      <c r="A22" s="37" t="s">
        <v>289</v>
      </c>
      <c r="B22" s="38" t="s">
        <v>63</v>
      </c>
      <c r="C22" s="39">
        <v>0</v>
      </c>
      <c r="D22" s="51">
        <v>32.32</v>
      </c>
      <c r="E22" s="47">
        <f t="shared" si="0"/>
        <v>0</v>
      </c>
      <c r="F22" s="2"/>
      <c r="G22" s="2"/>
      <c r="H22" s="2"/>
      <c r="I22" s="2"/>
      <c r="J22" s="2"/>
      <c r="K22" s="2"/>
      <c r="L22" s="2"/>
      <c r="M22" s="2"/>
      <c r="N22" s="2"/>
      <c r="O22" s="2"/>
      <c r="P22" s="2"/>
      <c r="Q22" s="2"/>
      <c r="R22" s="2"/>
      <c r="S22" s="2"/>
      <c r="T22" s="2"/>
      <c r="U22" s="2"/>
      <c r="V22" s="2"/>
      <c r="W22" s="2"/>
      <c r="X22" s="2"/>
      <c r="Y22" s="2"/>
      <c r="Z22" s="2"/>
    </row>
    <row r="23" spans="1:26" ht="99" x14ac:dyDescent="0.45">
      <c r="A23" s="37" t="s">
        <v>290</v>
      </c>
      <c r="B23" s="38" t="s">
        <v>63</v>
      </c>
      <c r="C23" s="39">
        <v>0</v>
      </c>
      <c r="D23" s="51">
        <v>125</v>
      </c>
      <c r="E23" s="47">
        <f t="shared" si="0"/>
        <v>0</v>
      </c>
      <c r="F23" s="2"/>
      <c r="G23" s="2"/>
      <c r="H23" s="2"/>
      <c r="I23" s="2"/>
      <c r="J23" s="2"/>
      <c r="K23" s="2"/>
      <c r="L23" s="2"/>
      <c r="M23" s="2"/>
      <c r="N23" s="2"/>
      <c r="O23" s="2"/>
      <c r="P23" s="2"/>
      <c r="Q23" s="2"/>
      <c r="R23" s="2"/>
      <c r="S23" s="2"/>
      <c r="T23" s="2"/>
      <c r="U23" s="2"/>
      <c r="V23" s="2"/>
      <c r="W23" s="2"/>
      <c r="X23" s="2"/>
      <c r="Y23" s="2"/>
      <c r="Z23" s="2"/>
    </row>
    <row r="24" spans="1:26" ht="84.9" x14ac:dyDescent="0.45">
      <c r="A24" s="37" t="s">
        <v>291</v>
      </c>
      <c r="B24" s="38" t="s">
        <v>63</v>
      </c>
      <c r="C24" s="39">
        <v>0</v>
      </c>
      <c r="D24" s="51">
        <v>36.630000000000003</v>
      </c>
      <c r="E24" s="47">
        <f t="shared" si="0"/>
        <v>0</v>
      </c>
      <c r="F24" s="2"/>
      <c r="G24" s="2"/>
      <c r="H24" s="2"/>
      <c r="I24" s="2"/>
      <c r="J24" s="2"/>
      <c r="K24" s="2"/>
      <c r="L24" s="2"/>
      <c r="M24" s="2"/>
      <c r="N24" s="2"/>
      <c r="O24" s="2"/>
      <c r="P24" s="2"/>
      <c r="Q24" s="2"/>
      <c r="R24" s="2"/>
      <c r="S24" s="2"/>
      <c r="T24" s="2"/>
      <c r="U24" s="2"/>
      <c r="V24" s="2"/>
      <c r="W24" s="2"/>
      <c r="X24" s="2"/>
      <c r="Y24" s="2"/>
      <c r="Z24" s="2"/>
    </row>
    <row r="25" spans="1:26" ht="56.6" hidden="1" x14ac:dyDescent="0.45">
      <c r="A25" s="37" t="s">
        <v>292</v>
      </c>
      <c r="B25" s="65" t="s">
        <v>63</v>
      </c>
      <c r="C25" s="66">
        <v>0</v>
      </c>
      <c r="D25" s="51">
        <v>23.37</v>
      </c>
      <c r="E25" s="47">
        <f t="shared" si="0"/>
        <v>0</v>
      </c>
      <c r="F25" s="2"/>
      <c r="G25" s="2"/>
      <c r="H25" s="2"/>
      <c r="I25" s="2"/>
      <c r="J25" s="2"/>
      <c r="K25" s="2"/>
      <c r="L25" s="2"/>
      <c r="M25" s="2"/>
      <c r="N25" s="2"/>
      <c r="O25" s="2"/>
      <c r="P25" s="2"/>
      <c r="Q25" s="2"/>
      <c r="R25" s="2"/>
      <c r="S25" s="2"/>
      <c r="T25" s="2"/>
      <c r="U25" s="2"/>
      <c r="V25" s="2"/>
      <c r="W25" s="2"/>
      <c r="X25" s="2"/>
      <c r="Y25" s="2"/>
      <c r="Z25" s="2"/>
    </row>
    <row r="26" spans="1:26" ht="113.15" x14ac:dyDescent="0.45">
      <c r="A26" s="37" t="s">
        <v>293</v>
      </c>
      <c r="B26" s="67" t="s">
        <v>63</v>
      </c>
      <c r="C26" s="68">
        <v>0</v>
      </c>
      <c r="D26" s="51">
        <v>28.32</v>
      </c>
      <c r="E26" s="47">
        <f>D26*C26</f>
        <v>0</v>
      </c>
      <c r="F26" s="2"/>
      <c r="G26" s="2"/>
      <c r="H26" s="2"/>
      <c r="I26" s="2"/>
      <c r="J26" s="2"/>
      <c r="K26" s="2"/>
      <c r="L26" s="2"/>
      <c r="M26" s="2"/>
      <c r="N26" s="2"/>
      <c r="O26" s="2"/>
      <c r="P26" s="2"/>
      <c r="Q26" s="2"/>
      <c r="R26" s="2"/>
      <c r="S26" s="2"/>
      <c r="T26" s="2"/>
      <c r="U26" s="2"/>
      <c r="V26" s="2"/>
      <c r="W26" s="2"/>
      <c r="X26" s="2"/>
      <c r="Y26" s="2"/>
      <c r="Z26" s="2"/>
    </row>
    <row r="27" spans="1:26" ht="84.9" x14ac:dyDescent="0.45">
      <c r="A27" s="37" t="s">
        <v>294</v>
      </c>
      <c r="B27" s="38" t="s">
        <v>63</v>
      </c>
      <c r="C27" s="39">
        <v>0</v>
      </c>
      <c r="D27" s="51">
        <v>38.78</v>
      </c>
      <c r="E27" s="47">
        <f t="shared" si="0"/>
        <v>0</v>
      </c>
      <c r="F27" s="2"/>
      <c r="G27" s="2"/>
      <c r="H27" s="2"/>
      <c r="I27" s="2"/>
      <c r="J27" s="2"/>
      <c r="K27" s="2"/>
      <c r="L27" s="2"/>
      <c r="M27" s="2"/>
      <c r="N27" s="2"/>
      <c r="O27" s="2"/>
      <c r="P27" s="2"/>
      <c r="Q27" s="2"/>
      <c r="R27" s="2"/>
      <c r="S27" s="2"/>
      <c r="T27" s="2"/>
      <c r="U27" s="2"/>
      <c r="V27" s="2"/>
      <c r="W27" s="2"/>
      <c r="X27" s="2"/>
      <c r="Y27" s="2"/>
      <c r="Z27" s="2"/>
    </row>
    <row r="28" spans="1:26" ht="113.15" x14ac:dyDescent="0.45">
      <c r="A28" s="37" t="s">
        <v>295</v>
      </c>
      <c r="B28" s="67" t="s">
        <v>63</v>
      </c>
      <c r="C28" s="68">
        <v>0</v>
      </c>
      <c r="D28" s="51">
        <v>43.4</v>
      </c>
      <c r="E28" s="47">
        <f>D28*C28</f>
        <v>0</v>
      </c>
      <c r="F28" s="2"/>
      <c r="G28" s="2"/>
      <c r="H28" s="2"/>
      <c r="I28" s="2"/>
      <c r="J28" s="2"/>
      <c r="K28" s="2"/>
      <c r="L28" s="2"/>
      <c r="M28" s="2"/>
      <c r="N28" s="2"/>
      <c r="O28" s="2"/>
      <c r="P28" s="2"/>
      <c r="Q28" s="2"/>
      <c r="R28" s="2"/>
      <c r="S28" s="2"/>
      <c r="T28" s="2"/>
      <c r="U28" s="2"/>
      <c r="V28" s="2"/>
      <c r="W28" s="2"/>
      <c r="X28" s="2"/>
      <c r="Y28" s="2"/>
      <c r="Z28" s="2"/>
    </row>
    <row r="29" spans="1:26" ht="99" x14ac:dyDescent="0.45">
      <c r="A29" s="37" t="s">
        <v>296</v>
      </c>
      <c r="B29" s="38" t="s">
        <v>63</v>
      </c>
      <c r="C29" s="39">
        <v>0</v>
      </c>
      <c r="D29" s="51">
        <v>28.32</v>
      </c>
      <c r="E29" s="47">
        <f t="shared" si="0"/>
        <v>0</v>
      </c>
      <c r="F29" s="2"/>
      <c r="G29" s="2"/>
      <c r="H29" s="2"/>
      <c r="I29" s="2"/>
      <c r="J29" s="2"/>
      <c r="K29" s="2"/>
      <c r="L29" s="2"/>
      <c r="M29" s="2"/>
      <c r="N29" s="2"/>
      <c r="O29" s="2"/>
      <c r="P29" s="2"/>
      <c r="Q29" s="2"/>
      <c r="R29" s="2"/>
      <c r="S29" s="2"/>
      <c r="T29" s="2"/>
      <c r="U29" s="2"/>
      <c r="V29" s="2"/>
      <c r="W29" s="2"/>
      <c r="X29" s="2"/>
      <c r="Y29" s="2"/>
      <c r="Z29" s="2"/>
    </row>
    <row r="30" spans="1:26" ht="99" x14ac:dyDescent="0.45">
      <c r="A30" s="37" t="s">
        <v>296</v>
      </c>
      <c r="B30" s="38" t="s">
        <v>63</v>
      </c>
      <c r="C30" s="39">
        <v>0</v>
      </c>
      <c r="D30" s="51">
        <v>28.32</v>
      </c>
      <c r="E30" s="47">
        <f t="shared" si="0"/>
        <v>0</v>
      </c>
      <c r="F30" s="2"/>
      <c r="G30" s="2"/>
      <c r="H30" s="2"/>
      <c r="I30" s="2"/>
      <c r="J30" s="2"/>
      <c r="K30" s="2"/>
      <c r="L30" s="2"/>
      <c r="M30" s="2"/>
      <c r="N30" s="2"/>
      <c r="O30" s="2"/>
      <c r="P30" s="2"/>
      <c r="Q30" s="2"/>
      <c r="R30" s="2"/>
      <c r="S30" s="2"/>
      <c r="T30" s="2"/>
      <c r="U30" s="2"/>
      <c r="V30" s="2"/>
      <c r="W30" s="2"/>
      <c r="X30" s="2"/>
      <c r="Y30" s="2"/>
      <c r="Z30" s="2"/>
    </row>
    <row r="31" spans="1:26" ht="99" x14ac:dyDescent="0.45">
      <c r="A31" s="37" t="s">
        <v>297</v>
      </c>
      <c r="B31" s="38" t="s">
        <v>63</v>
      </c>
      <c r="C31" s="39">
        <v>0</v>
      </c>
      <c r="D31" s="51">
        <v>46.9</v>
      </c>
      <c r="E31" s="47">
        <f t="shared" si="0"/>
        <v>0</v>
      </c>
      <c r="F31" s="2"/>
      <c r="G31" s="2"/>
      <c r="H31" s="2"/>
      <c r="I31" s="2"/>
      <c r="J31" s="2"/>
      <c r="K31" s="2"/>
      <c r="L31" s="2"/>
      <c r="M31" s="2"/>
      <c r="N31" s="2"/>
      <c r="O31" s="2"/>
      <c r="P31" s="2"/>
      <c r="Q31" s="2"/>
      <c r="R31" s="2"/>
      <c r="S31" s="2"/>
      <c r="T31" s="2"/>
      <c r="U31" s="2"/>
      <c r="V31" s="2"/>
      <c r="W31" s="2"/>
      <c r="X31" s="2"/>
      <c r="Y31" s="2"/>
      <c r="Z31" s="2"/>
    </row>
    <row r="32" spans="1:26" ht="99" x14ac:dyDescent="0.45">
      <c r="A32" s="37" t="s">
        <v>298</v>
      </c>
      <c r="B32" s="38" t="s">
        <v>63</v>
      </c>
      <c r="C32" s="39">
        <v>0</v>
      </c>
      <c r="D32" s="52">
        <v>28.32</v>
      </c>
      <c r="E32" s="40">
        <f t="shared" ref="E32:E41" si="1">D32*C32</f>
        <v>0</v>
      </c>
      <c r="F32" s="2"/>
      <c r="G32" s="2"/>
      <c r="H32" s="2"/>
      <c r="I32" s="2"/>
      <c r="J32" s="2"/>
      <c r="K32" s="2"/>
      <c r="L32" s="2"/>
      <c r="M32" s="2"/>
      <c r="N32" s="2"/>
      <c r="O32" s="2"/>
      <c r="P32" s="2"/>
      <c r="Q32" s="2"/>
      <c r="R32" s="2"/>
      <c r="S32" s="2"/>
      <c r="T32" s="2"/>
      <c r="U32" s="2"/>
      <c r="V32" s="2"/>
      <c r="W32" s="2"/>
      <c r="X32" s="2"/>
      <c r="Y32" s="2"/>
      <c r="Z32" s="2"/>
    </row>
    <row r="33" spans="1:26" ht="127.5" customHeight="1" x14ac:dyDescent="0.45">
      <c r="A33" s="37" t="s">
        <v>299</v>
      </c>
      <c r="B33" s="38" t="s">
        <v>63</v>
      </c>
      <c r="C33" s="39">
        <v>0</v>
      </c>
      <c r="D33" s="52">
        <v>28.02</v>
      </c>
      <c r="E33" s="40">
        <f t="shared" si="1"/>
        <v>0</v>
      </c>
      <c r="F33" s="2"/>
      <c r="G33" s="2"/>
      <c r="H33" s="2"/>
      <c r="I33" s="2"/>
      <c r="J33" s="2"/>
      <c r="K33" s="2"/>
      <c r="L33" s="2"/>
      <c r="M33" s="2"/>
      <c r="N33" s="2"/>
      <c r="O33" s="2"/>
      <c r="P33" s="2"/>
      <c r="Q33" s="2"/>
      <c r="R33" s="2"/>
      <c r="S33" s="2"/>
      <c r="T33" s="2"/>
      <c r="U33" s="2"/>
      <c r="V33" s="2"/>
      <c r="W33" s="2"/>
      <c r="X33" s="2"/>
      <c r="Y33" s="2"/>
      <c r="Z33" s="2"/>
    </row>
    <row r="34" spans="1:26" ht="99" x14ac:dyDescent="0.45">
      <c r="A34" s="37" t="s">
        <v>300</v>
      </c>
      <c r="B34" s="38" t="s">
        <v>63</v>
      </c>
      <c r="C34" s="39">
        <v>0</v>
      </c>
      <c r="D34" s="52">
        <v>56.7</v>
      </c>
      <c r="E34" s="40">
        <f t="shared" si="1"/>
        <v>0</v>
      </c>
      <c r="F34" s="2"/>
      <c r="G34" s="2"/>
      <c r="H34" s="2"/>
      <c r="I34" s="2"/>
      <c r="J34" s="2"/>
      <c r="K34" s="2"/>
      <c r="L34" s="2"/>
      <c r="M34" s="2"/>
      <c r="N34" s="2"/>
      <c r="O34" s="2"/>
      <c r="P34" s="2"/>
      <c r="Q34" s="2"/>
      <c r="R34" s="2"/>
      <c r="S34" s="2"/>
      <c r="T34" s="2"/>
      <c r="U34" s="2"/>
      <c r="V34" s="2"/>
      <c r="W34" s="2"/>
      <c r="X34" s="2"/>
      <c r="Y34" s="2"/>
      <c r="Z34" s="2"/>
    </row>
    <row r="35" spans="1:26" ht="99" x14ac:dyDescent="0.45">
      <c r="A35" s="37" t="s">
        <v>301</v>
      </c>
      <c r="B35" s="38" t="s">
        <v>63</v>
      </c>
      <c r="C35" s="39">
        <v>0</v>
      </c>
      <c r="D35" s="52">
        <v>61</v>
      </c>
      <c r="E35" s="40">
        <f t="shared" si="1"/>
        <v>0</v>
      </c>
      <c r="F35" s="2"/>
      <c r="G35" s="2"/>
      <c r="H35" s="2"/>
      <c r="I35" s="2"/>
      <c r="J35" s="2"/>
      <c r="K35" s="2"/>
      <c r="L35" s="2"/>
      <c r="M35" s="2"/>
      <c r="N35" s="2"/>
      <c r="O35" s="2"/>
      <c r="P35" s="2"/>
      <c r="Q35" s="2"/>
      <c r="R35" s="2"/>
      <c r="S35" s="2"/>
      <c r="T35" s="2"/>
      <c r="U35" s="2"/>
      <c r="V35" s="2"/>
      <c r="W35" s="2"/>
      <c r="X35" s="2"/>
      <c r="Y35" s="2"/>
      <c r="Z35" s="2"/>
    </row>
    <row r="36" spans="1:26" ht="84.9" x14ac:dyDescent="0.45">
      <c r="A36" s="37" t="s">
        <v>302</v>
      </c>
      <c r="B36" s="38" t="s">
        <v>63</v>
      </c>
      <c r="C36" s="39">
        <v>0</v>
      </c>
      <c r="D36" s="52">
        <v>80.16</v>
      </c>
      <c r="E36" s="40">
        <f t="shared" si="1"/>
        <v>0</v>
      </c>
      <c r="F36" s="2"/>
      <c r="G36" s="2"/>
      <c r="H36" s="2"/>
      <c r="I36" s="2"/>
      <c r="J36" s="2"/>
      <c r="K36" s="2"/>
      <c r="L36" s="2"/>
      <c r="M36" s="2"/>
      <c r="N36" s="2"/>
      <c r="O36" s="2"/>
      <c r="P36" s="2"/>
      <c r="Q36" s="2"/>
      <c r="R36" s="2"/>
      <c r="S36" s="2"/>
      <c r="T36" s="2"/>
      <c r="U36" s="2"/>
      <c r="V36" s="2"/>
      <c r="W36" s="2"/>
      <c r="X36" s="2"/>
      <c r="Y36" s="2"/>
      <c r="Z36" s="2"/>
    </row>
    <row r="37" spans="1:26" ht="144" customHeight="1" x14ac:dyDescent="0.45">
      <c r="A37" s="37" t="s">
        <v>303</v>
      </c>
      <c r="B37" s="38" t="s">
        <v>63</v>
      </c>
      <c r="C37" s="39">
        <v>0</v>
      </c>
      <c r="D37" s="52">
        <v>81.900000000000006</v>
      </c>
      <c r="E37" s="40">
        <f t="shared" si="1"/>
        <v>0</v>
      </c>
      <c r="F37" s="2"/>
      <c r="G37" s="2"/>
      <c r="H37" s="2"/>
      <c r="I37" s="2"/>
      <c r="J37" s="2"/>
      <c r="K37" s="2"/>
      <c r="L37" s="2"/>
      <c r="M37" s="2"/>
      <c r="N37" s="2"/>
      <c r="O37" s="2"/>
      <c r="P37" s="2"/>
      <c r="Q37" s="2"/>
      <c r="R37" s="2"/>
      <c r="S37" s="2"/>
      <c r="T37" s="2"/>
      <c r="U37" s="2"/>
      <c r="V37" s="2"/>
      <c r="W37" s="2"/>
      <c r="X37" s="2"/>
      <c r="Y37" s="2"/>
      <c r="Z37" s="2"/>
    </row>
    <row r="38" spans="1:26" ht="84.9" x14ac:dyDescent="0.45">
      <c r="A38" s="37" t="s">
        <v>304</v>
      </c>
      <c r="B38" s="38" t="s">
        <v>63</v>
      </c>
      <c r="C38" s="39">
        <v>0</v>
      </c>
      <c r="D38" s="52">
        <v>61.56</v>
      </c>
      <c r="E38" s="40">
        <f t="shared" si="1"/>
        <v>0</v>
      </c>
      <c r="F38" s="2"/>
      <c r="G38" s="2"/>
      <c r="H38" s="2"/>
      <c r="I38" s="2"/>
      <c r="J38" s="2"/>
      <c r="K38" s="2"/>
      <c r="L38" s="2"/>
      <c r="M38" s="2"/>
      <c r="N38" s="2"/>
      <c r="O38" s="2"/>
      <c r="P38" s="2"/>
      <c r="Q38" s="2"/>
      <c r="R38" s="2"/>
      <c r="S38" s="2"/>
      <c r="T38" s="2"/>
      <c r="U38" s="2"/>
      <c r="V38" s="2"/>
      <c r="W38" s="2"/>
      <c r="X38" s="2"/>
      <c r="Y38" s="2"/>
      <c r="Z38" s="2"/>
    </row>
    <row r="39" spans="1:26" ht="99" x14ac:dyDescent="0.45">
      <c r="A39" s="37" t="s">
        <v>305</v>
      </c>
      <c r="B39" s="38" t="s">
        <v>63</v>
      </c>
      <c r="C39" s="39">
        <v>0</v>
      </c>
      <c r="D39" s="52">
        <v>108.5</v>
      </c>
      <c r="E39" s="40">
        <f t="shared" si="1"/>
        <v>0</v>
      </c>
      <c r="F39" s="2"/>
      <c r="G39" s="2"/>
      <c r="H39" s="2"/>
      <c r="I39" s="2"/>
      <c r="J39" s="2"/>
      <c r="K39" s="2"/>
      <c r="L39" s="2"/>
      <c r="M39" s="2"/>
      <c r="N39" s="2"/>
      <c r="O39" s="2"/>
      <c r="P39" s="2"/>
      <c r="Q39" s="2"/>
      <c r="R39" s="2"/>
      <c r="S39" s="2"/>
      <c r="T39" s="2"/>
      <c r="U39" s="2"/>
      <c r="V39" s="2"/>
      <c r="W39" s="2"/>
      <c r="X39" s="2"/>
      <c r="Y39" s="2"/>
      <c r="Z39" s="2"/>
    </row>
    <row r="40" spans="1:26" ht="99" x14ac:dyDescent="0.45">
      <c r="A40" s="37" t="s">
        <v>306</v>
      </c>
      <c r="B40" s="38" t="s">
        <v>63</v>
      </c>
      <c r="C40" s="39">
        <v>0</v>
      </c>
      <c r="D40" s="52">
        <v>108.5</v>
      </c>
      <c r="E40" s="40">
        <f t="shared" si="1"/>
        <v>0</v>
      </c>
      <c r="F40" s="2"/>
      <c r="G40" s="2"/>
      <c r="H40" s="2"/>
      <c r="I40" s="2"/>
      <c r="J40" s="2"/>
      <c r="K40" s="2"/>
      <c r="L40" s="2"/>
      <c r="M40" s="2"/>
      <c r="N40" s="2"/>
      <c r="O40" s="2"/>
      <c r="P40" s="2"/>
      <c r="Q40" s="2"/>
      <c r="R40" s="2"/>
      <c r="S40" s="2"/>
      <c r="T40" s="2"/>
      <c r="U40" s="2"/>
      <c r="V40" s="2"/>
      <c r="W40" s="2"/>
      <c r="X40" s="2"/>
      <c r="Y40" s="2"/>
      <c r="Z40" s="2"/>
    </row>
    <row r="41" spans="1:26" ht="99.45" thickBot="1" x14ac:dyDescent="0.5">
      <c r="A41" s="37" t="s">
        <v>307</v>
      </c>
      <c r="B41" s="38" t="s">
        <v>63</v>
      </c>
      <c r="C41" s="39">
        <v>0</v>
      </c>
      <c r="D41" s="52">
        <v>76.3</v>
      </c>
      <c r="E41" s="40">
        <f t="shared" si="1"/>
        <v>0</v>
      </c>
      <c r="F41" s="2"/>
      <c r="G41" s="2"/>
      <c r="H41" s="2"/>
      <c r="I41" s="2"/>
      <c r="J41" s="2"/>
      <c r="K41" s="2"/>
      <c r="L41" s="2"/>
      <c r="M41" s="2"/>
      <c r="N41" s="2"/>
      <c r="O41" s="2"/>
      <c r="P41" s="2"/>
      <c r="Q41" s="2"/>
      <c r="R41" s="2"/>
      <c r="S41" s="2"/>
      <c r="T41" s="2"/>
      <c r="U41" s="2"/>
      <c r="V41" s="2"/>
      <c r="W41" s="2"/>
      <c r="X41" s="2"/>
      <c r="Y41" s="2"/>
      <c r="Z41" s="2"/>
    </row>
    <row r="42" spans="1:26" ht="16.3" thickBot="1" x14ac:dyDescent="0.5">
      <c r="A42" s="128" t="s">
        <v>308</v>
      </c>
      <c r="B42" s="129"/>
      <c r="C42" s="130"/>
      <c r="D42" s="131"/>
      <c r="E42" s="132"/>
      <c r="F42" s="2"/>
      <c r="G42" s="2"/>
      <c r="H42" s="2"/>
      <c r="I42" s="2"/>
      <c r="J42" s="2"/>
      <c r="K42" s="2"/>
      <c r="L42" s="2"/>
      <c r="M42" s="2"/>
      <c r="N42" s="2"/>
      <c r="O42" s="2"/>
      <c r="P42" s="2"/>
      <c r="Q42" s="2"/>
      <c r="R42" s="2"/>
      <c r="S42" s="2"/>
      <c r="T42" s="2"/>
      <c r="U42" s="2"/>
      <c r="V42" s="2"/>
      <c r="W42" s="2"/>
      <c r="X42" s="2"/>
      <c r="Y42" s="2"/>
      <c r="Z42" s="2"/>
    </row>
    <row r="43" spans="1:26" ht="141.44999999999999" x14ac:dyDescent="0.45">
      <c r="A43" s="37" t="s">
        <v>309</v>
      </c>
      <c r="B43" s="67" t="s">
        <v>63</v>
      </c>
      <c r="C43" s="68">
        <v>0</v>
      </c>
      <c r="D43" s="51">
        <v>79.099999999999994</v>
      </c>
      <c r="E43" s="47">
        <f t="shared" si="0"/>
        <v>0</v>
      </c>
      <c r="F43" s="2"/>
      <c r="G43" s="2"/>
      <c r="H43" s="2"/>
      <c r="I43" s="2"/>
      <c r="J43" s="2"/>
      <c r="K43" s="2"/>
      <c r="L43" s="2"/>
      <c r="M43" s="2"/>
      <c r="N43" s="2"/>
      <c r="O43" s="2"/>
      <c r="P43" s="2"/>
      <c r="Q43" s="2"/>
      <c r="R43" s="2"/>
      <c r="S43" s="2"/>
      <c r="T43" s="2"/>
      <c r="U43" s="2"/>
      <c r="V43" s="2"/>
      <c r="W43" s="2"/>
      <c r="X43" s="2"/>
      <c r="Y43" s="2"/>
      <c r="Z43" s="2"/>
    </row>
    <row r="44" spans="1:26" ht="268.75" x14ac:dyDescent="0.45">
      <c r="A44" s="37" t="s">
        <v>310</v>
      </c>
      <c r="B44" s="38" t="s">
        <v>63</v>
      </c>
      <c r="C44" s="39">
        <v>0</v>
      </c>
      <c r="D44" s="52">
        <v>35.700000000000003</v>
      </c>
      <c r="E44" s="40">
        <f t="shared" ref="E44:E46" si="2">D44*C44</f>
        <v>0</v>
      </c>
      <c r="F44" s="2"/>
      <c r="G44" s="2"/>
      <c r="H44" s="2"/>
      <c r="I44" s="2"/>
      <c r="J44" s="2"/>
      <c r="K44" s="2"/>
      <c r="L44" s="2"/>
      <c r="M44" s="2"/>
      <c r="N44" s="2"/>
      <c r="O44" s="2"/>
      <c r="P44" s="2"/>
      <c r="Q44" s="2"/>
      <c r="R44" s="2"/>
      <c r="S44" s="2"/>
      <c r="T44" s="2"/>
      <c r="U44" s="2"/>
      <c r="V44" s="2"/>
      <c r="W44" s="2"/>
      <c r="X44" s="2"/>
      <c r="Y44" s="2"/>
      <c r="Z44" s="2"/>
    </row>
    <row r="45" spans="1:26" ht="183.9" x14ac:dyDescent="0.45">
      <c r="A45" s="37" t="s">
        <v>311</v>
      </c>
      <c r="B45" s="38" t="s">
        <v>63</v>
      </c>
      <c r="C45" s="39">
        <v>0</v>
      </c>
      <c r="D45" s="52">
        <v>31.88</v>
      </c>
      <c r="E45" s="40">
        <f t="shared" si="2"/>
        <v>0</v>
      </c>
      <c r="F45" s="2"/>
      <c r="G45" s="2"/>
      <c r="H45" s="2"/>
      <c r="I45" s="2"/>
      <c r="J45" s="2"/>
      <c r="K45" s="2"/>
      <c r="L45" s="2"/>
      <c r="M45" s="2"/>
      <c r="N45" s="2"/>
      <c r="O45" s="2"/>
      <c r="P45" s="2"/>
      <c r="Q45" s="2"/>
      <c r="R45" s="2"/>
      <c r="S45" s="2"/>
      <c r="T45" s="2"/>
      <c r="U45" s="2"/>
      <c r="V45" s="2"/>
      <c r="W45" s="2"/>
      <c r="X45" s="2"/>
      <c r="Y45" s="2"/>
      <c r="Z45" s="2"/>
    </row>
    <row r="46" spans="1:26" ht="15.75" customHeight="1" x14ac:dyDescent="0.45">
      <c r="A46" s="45" t="s">
        <v>312</v>
      </c>
      <c r="B46" s="38" t="s">
        <v>63</v>
      </c>
      <c r="C46" s="39">
        <v>0</v>
      </c>
      <c r="D46" s="52">
        <v>1.76</v>
      </c>
      <c r="E46" s="40">
        <f t="shared" si="2"/>
        <v>0</v>
      </c>
      <c r="F46" s="2"/>
      <c r="G46" s="2"/>
      <c r="H46" s="2"/>
      <c r="I46" s="2"/>
      <c r="J46" s="2"/>
      <c r="K46" s="2"/>
      <c r="L46" s="2"/>
      <c r="M46" s="2"/>
      <c r="N46" s="2"/>
      <c r="O46" s="2"/>
      <c r="P46" s="2"/>
      <c r="Q46" s="2"/>
      <c r="R46" s="2"/>
      <c r="S46" s="2"/>
      <c r="T46" s="2"/>
      <c r="U46" s="2"/>
      <c r="V46" s="2"/>
      <c r="W46" s="2"/>
      <c r="X46" s="2"/>
      <c r="Y46" s="2"/>
      <c r="Z46" s="2"/>
    </row>
    <row r="47" spans="1:26" ht="56.6" x14ac:dyDescent="0.45">
      <c r="A47" s="37" t="s">
        <v>313</v>
      </c>
      <c r="B47" s="38" t="s">
        <v>63</v>
      </c>
      <c r="C47" s="39">
        <v>0</v>
      </c>
      <c r="D47" s="51">
        <v>63.2</v>
      </c>
      <c r="E47" s="47">
        <f t="shared" ref="E47:E56" si="3">D47*C47</f>
        <v>0</v>
      </c>
      <c r="F47" s="2"/>
      <c r="G47" s="2"/>
      <c r="H47" s="2"/>
      <c r="I47" s="2"/>
      <c r="J47" s="2"/>
      <c r="K47" s="2"/>
      <c r="L47" s="2"/>
      <c r="M47" s="2"/>
      <c r="N47" s="2"/>
      <c r="O47" s="2"/>
      <c r="P47" s="2"/>
      <c r="Q47" s="2"/>
      <c r="R47" s="2"/>
      <c r="S47" s="2"/>
      <c r="T47" s="2"/>
      <c r="U47" s="2"/>
      <c r="V47" s="2"/>
      <c r="W47" s="2"/>
      <c r="X47" s="2"/>
      <c r="Y47" s="2"/>
      <c r="Z47" s="2"/>
    </row>
    <row r="48" spans="1:26" ht="113.6" thickBot="1" x14ac:dyDescent="0.5">
      <c r="A48" s="53" t="s">
        <v>314</v>
      </c>
      <c r="B48" s="43" t="s">
        <v>63</v>
      </c>
      <c r="C48" s="44">
        <v>0</v>
      </c>
      <c r="D48" s="55">
        <v>98.8</v>
      </c>
      <c r="E48" s="56">
        <f t="shared" si="3"/>
        <v>0</v>
      </c>
      <c r="F48" s="2"/>
      <c r="G48" s="2"/>
      <c r="H48" s="2"/>
      <c r="I48" s="2"/>
      <c r="J48" s="2"/>
      <c r="K48" s="2"/>
      <c r="L48" s="2"/>
      <c r="M48" s="2"/>
      <c r="N48" s="2"/>
      <c r="O48" s="2"/>
      <c r="P48" s="2"/>
      <c r="Q48" s="2"/>
      <c r="R48" s="2"/>
      <c r="S48" s="2"/>
      <c r="T48" s="2"/>
      <c r="U48" s="2"/>
      <c r="V48" s="2"/>
      <c r="W48" s="2"/>
      <c r="X48" s="2"/>
      <c r="Y48" s="2"/>
      <c r="Z48" s="2"/>
    </row>
    <row r="49" spans="1:26" ht="16.3" thickBot="1" x14ac:dyDescent="0.5">
      <c r="A49" s="128" t="s">
        <v>315</v>
      </c>
      <c r="B49" s="129"/>
      <c r="C49" s="130"/>
      <c r="D49" s="131"/>
      <c r="E49" s="132"/>
      <c r="F49" s="2"/>
      <c r="G49" s="2"/>
      <c r="H49" s="2"/>
      <c r="I49" s="2"/>
      <c r="J49" s="2"/>
      <c r="K49" s="2"/>
      <c r="L49" s="2"/>
      <c r="M49" s="2"/>
      <c r="N49" s="2"/>
      <c r="O49" s="2"/>
      <c r="P49" s="2"/>
      <c r="Q49" s="2"/>
      <c r="R49" s="2"/>
      <c r="S49" s="2"/>
      <c r="T49" s="2"/>
      <c r="U49" s="2"/>
      <c r="V49" s="2"/>
      <c r="W49" s="2"/>
      <c r="X49" s="2"/>
      <c r="Y49" s="2"/>
      <c r="Z49" s="2"/>
    </row>
    <row r="50" spans="1:26" ht="99" x14ac:dyDescent="0.45">
      <c r="A50" s="54" t="s">
        <v>316</v>
      </c>
      <c r="B50" s="46" t="s">
        <v>63</v>
      </c>
      <c r="C50" s="50">
        <v>0</v>
      </c>
      <c r="D50" s="51">
        <v>106.25</v>
      </c>
      <c r="E50" s="47">
        <f>D50*C50</f>
        <v>0</v>
      </c>
      <c r="F50" s="2"/>
      <c r="G50" s="2"/>
      <c r="H50" s="2"/>
      <c r="I50" s="2"/>
      <c r="J50" s="2"/>
      <c r="K50" s="2"/>
      <c r="L50" s="2"/>
      <c r="M50" s="2"/>
      <c r="N50" s="2"/>
      <c r="O50" s="2"/>
      <c r="P50" s="2"/>
      <c r="Q50" s="2"/>
      <c r="R50" s="2"/>
      <c r="S50" s="2"/>
      <c r="T50" s="2"/>
      <c r="U50" s="2"/>
      <c r="V50" s="2"/>
      <c r="W50" s="2"/>
      <c r="X50" s="2"/>
      <c r="Y50" s="2"/>
      <c r="Z50" s="2"/>
    </row>
    <row r="51" spans="1:26" ht="99" x14ac:dyDescent="0.45">
      <c r="A51" s="37" t="s">
        <v>317</v>
      </c>
      <c r="B51" s="38" t="s">
        <v>63</v>
      </c>
      <c r="C51" s="39">
        <v>0</v>
      </c>
      <c r="D51" s="52">
        <v>106.25</v>
      </c>
      <c r="E51" s="40">
        <f t="shared" ref="E51" si="4">D51*C51</f>
        <v>0</v>
      </c>
      <c r="F51" s="2"/>
      <c r="G51" s="2"/>
      <c r="H51" s="2"/>
      <c r="I51" s="2"/>
      <c r="J51" s="2"/>
      <c r="K51" s="2"/>
      <c r="L51" s="2"/>
      <c r="M51" s="2"/>
      <c r="N51" s="2"/>
      <c r="O51" s="2"/>
      <c r="P51" s="2"/>
      <c r="Q51" s="2"/>
      <c r="R51" s="2"/>
      <c r="S51" s="2"/>
      <c r="T51" s="2"/>
      <c r="U51" s="2"/>
      <c r="V51" s="2"/>
      <c r="W51" s="2"/>
      <c r="X51" s="2"/>
      <c r="Y51" s="2"/>
      <c r="Z51" s="2"/>
    </row>
    <row r="52" spans="1:26" ht="99" x14ac:dyDescent="0.45">
      <c r="A52" s="37" t="s">
        <v>318</v>
      </c>
      <c r="B52" s="38" t="s">
        <v>63</v>
      </c>
      <c r="C52" s="39">
        <v>0</v>
      </c>
      <c r="D52" s="52">
        <v>165.78</v>
      </c>
      <c r="E52" s="40">
        <f t="shared" si="3"/>
        <v>0</v>
      </c>
      <c r="F52" s="2"/>
      <c r="G52" s="2"/>
      <c r="H52" s="2"/>
      <c r="I52" s="2"/>
      <c r="J52" s="2"/>
      <c r="K52" s="2"/>
      <c r="L52" s="2"/>
      <c r="M52" s="2"/>
      <c r="N52" s="2"/>
      <c r="O52" s="2"/>
      <c r="P52" s="2"/>
      <c r="Q52" s="2"/>
      <c r="R52" s="2"/>
      <c r="S52" s="2"/>
      <c r="T52" s="2"/>
      <c r="U52" s="2"/>
      <c r="V52" s="2"/>
      <c r="W52" s="2"/>
      <c r="X52" s="2"/>
      <c r="Y52" s="2"/>
      <c r="Z52" s="2"/>
    </row>
    <row r="53" spans="1:26" ht="99" x14ac:dyDescent="0.45">
      <c r="A53" s="37" t="s">
        <v>319</v>
      </c>
      <c r="B53" s="38" t="s">
        <v>63</v>
      </c>
      <c r="C53" s="39">
        <v>0</v>
      </c>
      <c r="D53" s="52">
        <v>108.5</v>
      </c>
      <c r="E53" s="40">
        <f t="shared" si="3"/>
        <v>0</v>
      </c>
      <c r="F53" s="2"/>
      <c r="G53" s="2"/>
      <c r="H53" s="2"/>
      <c r="I53" s="2"/>
      <c r="J53" s="2"/>
      <c r="K53" s="2"/>
      <c r="L53" s="2"/>
      <c r="M53" s="2"/>
      <c r="N53" s="2"/>
      <c r="O53" s="2"/>
      <c r="P53" s="2"/>
      <c r="Q53" s="2"/>
      <c r="R53" s="2"/>
      <c r="S53" s="2"/>
      <c r="T53" s="2"/>
      <c r="U53" s="2"/>
      <c r="V53" s="2"/>
      <c r="W53" s="2"/>
      <c r="X53" s="2"/>
      <c r="Y53" s="2"/>
      <c r="Z53" s="2"/>
    </row>
    <row r="54" spans="1:26" ht="99" x14ac:dyDescent="0.45">
      <c r="A54" s="37" t="s">
        <v>320</v>
      </c>
      <c r="B54" s="38" t="s">
        <v>63</v>
      </c>
      <c r="C54" s="39">
        <v>0</v>
      </c>
      <c r="D54" s="52">
        <v>106.25</v>
      </c>
      <c r="E54" s="40">
        <f t="shared" si="3"/>
        <v>0</v>
      </c>
      <c r="F54" s="2"/>
      <c r="G54" s="2"/>
      <c r="H54" s="2"/>
      <c r="I54" s="2"/>
      <c r="J54" s="2"/>
      <c r="K54" s="2"/>
      <c r="L54" s="2"/>
      <c r="M54" s="2"/>
      <c r="N54" s="2"/>
      <c r="O54" s="2"/>
      <c r="P54" s="2"/>
      <c r="Q54" s="2"/>
      <c r="R54" s="2"/>
      <c r="S54" s="2"/>
      <c r="T54" s="2"/>
      <c r="U54" s="2"/>
      <c r="V54" s="2"/>
      <c r="W54" s="2"/>
      <c r="X54" s="2"/>
      <c r="Y54" s="2"/>
      <c r="Z54" s="2"/>
    </row>
    <row r="55" spans="1:26" ht="99" x14ac:dyDescent="0.45">
      <c r="A55" s="37" t="s">
        <v>321</v>
      </c>
      <c r="B55" s="38" t="s">
        <v>63</v>
      </c>
      <c r="C55" s="39">
        <v>0</v>
      </c>
      <c r="D55" s="52">
        <v>166.59</v>
      </c>
      <c r="E55" s="40">
        <f t="shared" si="3"/>
        <v>0</v>
      </c>
      <c r="F55" s="2"/>
      <c r="G55" s="2"/>
      <c r="H55" s="2"/>
      <c r="I55" s="2"/>
      <c r="J55" s="2"/>
      <c r="K55" s="2"/>
      <c r="L55" s="2"/>
      <c r="M55" s="2"/>
      <c r="N55" s="2"/>
      <c r="O55" s="2"/>
      <c r="P55" s="2"/>
      <c r="Q55" s="2"/>
      <c r="R55" s="2"/>
      <c r="S55" s="2"/>
      <c r="T55" s="2"/>
      <c r="U55" s="2"/>
      <c r="V55" s="2"/>
      <c r="W55" s="2"/>
      <c r="X55" s="2"/>
      <c r="Y55" s="2"/>
      <c r="Z55" s="2"/>
    </row>
    <row r="56" spans="1:26" ht="99.45" thickBot="1" x14ac:dyDescent="0.5">
      <c r="A56" s="37" t="s">
        <v>322</v>
      </c>
      <c r="B56" s="38" t="s">
        <v>63</v>
      </c>
      <c r="C56" s="39">
        <v>0</v>
      </c>
      <c r="D56" s="52">
        <v>113.04</v>
      </c>
      <c r="E56" s="40">
        <f t="shared" si="3"/>
        <v>0</v>
      </c>
      <c r="F56" s="2"/>
      <c r="G56" s="2"/>
      <c r="H56" s="2"/>
      <c r="I56" s="2"/>
      <c r="J56" s="2"/>
      <c r="K56" s="2"/>
      <c r="L56" s="2"/>
      <c r="M56" s="2"/>
      <c r="N56" s="2"/>
      <c r="O56" s="2"/>
      <c r="P56" s="2"/>
      <c r="Q56" s="2"/>
      <c r="R56" s="2"/>
      <c r="S56" s="2"/>
      <c r="T56" s="2"/>
      <c r="U56" s="2"/>
      <c r="V56" s="2"/>
      <c r="W56" s="2"/>
      <c r="X56" s="2"/>
      <c r="Y56" s="2"/>
      <c r="Z56" s="2"/>
    </row>
    <row r="57" spans="1:26" ht="16.3" thickBot="1" x14ac:dyDescent="0.5">
      <c r="A57" s="128" t="s">
        <v>323</v>
      </c>
      <c r="B57" s="129"/>
      <c r="C57" s="130"/>
      <c r="D57" s="131"/>
      <c r="E57" s="132"/>
      <c r="F57" s="2"/>
      <c r="G57" s="2"/>
      <c r="H57" s="2"/>
      <c r="I57" s="2"/>
      <c r="J57" s="2"/>
      <c r="K57" s="2"/>
      <c r="L57" s="2"/>
      <c r="M57" s="2"/>
      <c r="N57" s="2"/>
      <c r="O57" s="2"/>
      <c r="P57" s="2"/>
      <c r="Q57" s="2"/>
      <c r="R57" s="2"/>
      <c r="S57" s="2"/>
      <c r="T57" s="2"/>
      <c r="U57" s="2"/>
      <c r="V57" s="2"/>
      <c r="W57" s="2"/>
      <c r="X57" s="2"/>
      <c r="Y57" s="2"/>
      <c r="Z57" s="2"/>
    </row>
    <row r="58" spans="1:26" ht="56.6" x14ac:dyDescent="0.45">
      <c r="A58" s="37" t="s">
        <v>324</v>
      </c>
      <c r="B58" s="38" t="s">
        <v>79</v>
      </c>
      <c r="C58" s="39">
        <v>0</v>
      </c>
      <c r="D58" s="52">
        <v>12.95</v>
      </c>
      <c r="E58" s="40">
        <f t="shared" ref="E58:E80" si="5">D58*C58</f>
        <v>0</v>
      </c>
      <c r="F58" s="2"/>
      <c r="G58" s="2"/>
      <c r="H58" s="2"/>
      <c r="I58" s="2"/>
      <c r="J58" s="2"/>
      <c r="K58" s="2"/>
      <c r="L58" s="2"/>
      <c r="M58" s="2"/>
      <c r="N58" s="2"/>
      <c r="O58" s="2"/>
      <c r="P58" s="2"/>
      <c r="Q58" s="2"/>
      <c r="R58" s="2"/>
      <c r="S58" s="2"/>
      <c r="T58" s="2"/>
      <c r="U58" s="2"/>
      <c r="V58" s="2"/>
      <c r="W58" s="2"/>
      <c r="X58" s="2"/>
      <c r="Y58" s="2"/>
      <c r="Z58" s="2"/>
    </row>
    <row r="59" spans="1:26" ht="15.9" x14ac:dyDescent="0.45">
      <c r="A59" s="37" t="s">
        <v>325</v>
      </c>
      <c r="B59" s="38" t="s">
        <v>79</v>
      </c>
      <c r="C59" s="39">
        <v>0</v>
      </c>
      <c r="D59" s="52">
        <v>22.5</v>
      </c>
      <c r="E59" s="40">
        <f t="shared" si="5"/>
        <v>0</v>
      </c>
      <c r="F59" s="2"/>
      <c r="G59" s="2"/>
      <c r="H59" s="2"/>
      <c r="I59" s="2"/>
      <c r="J59" s="2"/>
      <c r="K59" s="2"/>
      <c r="L59" s="2"/>
      <c r="M59" s="2"/>
      <c r="N59" s="2"/>
      <c r="O59" s="2"/>
      <c r="P59" s="2"/>
      <c r="Q59" s="2"/>
      <c r="R59" s="2"/>
      <c r="S59" s="2"/>
      <c r="T59" s="2"/>
      <c r="U59" s="2"/>
      <c r="V59" s="2"/>
      <c r="W59" s="2"/>
      <c r="X59" s="2"/>
      <c r="Y59" s="2"/>
      <c r="Z59" s="2"/>
    </row>
    <row r="60" spans="1:26" ht="28.3" x14ac:dyDescent="0.45">
      <c r="A60" s="37" t="s">
        <v>326</v>
      </c>
      <c r="B60" s="38" t="s">
        <v>79</v>
      </c>
      <c r="C60" s="39">
        <v>0</v>
      </c>
      <c r="D60" s="52">
        <v>9.52</v>
      </c>
      <c r="E60" s="40">
        <f t="shared" ref="E60" si="6">D60*C60</f>
        <v>0</v>
      </c>
      <c r="F60" s="2"/>
      <c r="G60" s="2"/>
      <c r="H60" s="2"/>
      <c r="I60" s="2"/>
      <c r="J60" s="2"/>
      <c r="K60" s="2"/>
      <c r="L60" s="2"/>
      <c r="M60" s="2"/>
      <c r="N60" s="2"/>
      <c r="O60" s="2"/>
      <c r="P60" s="2"/>
      <c r="Q60" s="2"/>
      <c r="R60" s="2"/>
      <c r="S60" s="2"/>
      <c r="T60" s="2"/>
      <c r="U60" s="2"/>
      <c r="V60" s="2"/>
      <c r="W60" s="2"/>
      <c r="X60" s="2"/>
      <c r="Y60" s="2"/>
      <c r="Z60" s="2"/>
    </row>
    <row r="61" spans="1:26" ht="28.3" x14ac:dyDescent="0.45">
      <c r="A61" s="37" t="s">
        <v>327</v>
      </c>
      <c r="B61" s="38" t="s">
        <v>79</v>
      </c>
      <c r="C61" s="39">
        <v>0</v>
      </c>
      <c r="D61" s="52">
        <v>9.52</v>
      </c>
      <c r="E61" s="40">
        <f t="shared" ref="E61" si="7">D61*C61</f>
        <v>0</v>
      </c>
      <c r="F61" s="2"/>
      <c r="G61" s="2"/>
      <c r="H61" s="2"/>
      <c r="I61" s="2"/>
      <c r="J61" s="2"/>
      <c r="K61" s="2"/>
      <c r="L61" s="2"/>
      <c r="M61" s="2"/>
      <c r="N61" s="2"/>
      <c r="O61" s="2"/>
      <c r="P61" s="2"/>
      <c r="Q61" s="2"/>
      <c r="R61" s="2"/>
      <c r="S61" s="2"/>
      <c r="T61" s="2"/>
      <c r="U61" s="2"/>
      <c r="V61" s="2"/>
      <c r="W61" s="2"/>
      <c r="X61" s="2"/>
      <c r="Y61" s="2"/>
      <c r="Z61" s="2"/>
    </row>
    <row r="62" spans="1:26" ht="16.3" thickBot="1" x14ac:dyDescent="0.5">
      <c r="A62" s="37" t="s">
        <v>328</v>
      </c>
      <c r="B62" s="38" t="s">
        <v>79</v>
      </c>
      <c r="C62" s="39">
        <v>0</v>
      </c>
      <c r="D62" s="52">
        <v>9.52</v>
      </c>
      <c r="E62" s="40">
        <f t="shared" ref="E62" si="8">D62*C62</f>
        <v>0</v>
      </c>
      <c r="F62" s="2"/>
      <c r="G62" s="2"/>
      <c r="H62" s="2"/>
      <c r="I62" s="2"/>
      <c r="J62" s="2"/>
      <c r="K62" s="2"/>
      <c r="L62" s="2"/>
      <c r="M62" s="2"/>
      <c r="N62" s="2"/>
      <c r="O62" s="2"/>
      <c r="P62" s="2"/>
      <c r="Q62" s="2"/>
      <c r="R62" s="2"/>
      <c r="S62" s="2"/>
      <c r="T62" s="2"/>
      <c r="U62" s="2"/>
      <c r="V62" s="2"/>
      <c r="W62" s="2"/>
      <c r="X62" s="2"/>
      <c r="Y62" s="2"/>
      <c r="Z62" s="2"/>
    </row>
    <row r="63" spans="1:26" ht="16.3" thickBot="1" x14ac:dyDescent="0.5">
      <c r="A63" s="128" t="s">
        <v>329</v>
      </c>
      <c r="B63" s="129"/>
      <c r="C63" s="130"/>
      <c r="D63" s="131"/>
      <c r="E63" s="132"/>
      <c r="F63" s="2"/>
      <c r="G63" s="2"/>
      <c r="H63" s="2"/>
      <c r="I63" s="2"/>
      <c r="J63" s="2"/>
      <c r="K63" s="2"/>
      <c r="L63" s="2"/>
      <c r="M63" s="2"/>
      <c r="N63" s="2"/>
      <c r="O63" s="2"/>
      <c r="P63" s="2"/>
      <c r="Q63" s="2"/>
      <c r="R63" s="2"/>
      <c r="S63" s="2"/>
      <c r="T63" s="2"/>
      <c r="U63" s="2"/>
      <c r="V63" s="2"/>
      <c r="W63" s="2"/>
      <c r="X63" s="2"/>
      <c r="Y63" s="2"/>
      <c r="Z63" s="2"/>
    </row>
    <row r="64" spans="1:26" ht="23.15" customHeight="1" thickBot="1" x14ac:dyDescent="0.5">
      <c r="A64" s="69" t="s">
        <v>330</v>
      </c>
      <c r="B64" s="38" t="s">
        <v>63</v>
      </c>
      <c r="C64" s="39">
        <v>0</v>
      </c>
      <c r="D64" s="52">
        <v>3.1</v>
      </c>
      <c r="E64" s="40">
        <f t="shared" si="5"/>
        <v>0</v>
      </c>
      <c r="F64" s="2"/>
      <c r="G64" s="2"/>
      <c r="H64" s="2"/>
      <c r="I64" s="2"/>
      <c r="J64" s="2"/>
      <c r="K64" s="2"/>
      <c r="L64" s="2"/>
      <c r="M64" s="2"/>
      <c r="N64" s="2"/>
      <c r="O64" s="2"/>
      <c r="P64" s="2"/>
      <c r="Q64" s="2"/>
      <c r="R64" s="2"/>
      <c r="S64" s="2"/>
      <c r="T64" s="2"/>
      <c r="U64" s="2"/>
      <c r="V64" s="2"/>
      <c r="W64" s="2"/>
      <c r="X64" s="2"/>
      <c r="Y64" s="2"/>
      <c r="Z64" s="2"/>
    </row>
    <row r="65" spans="1:26" ht="16.3" thickBot="1" x14ac:dyDescent="0.5">
      <c r="A65" s="128" t="s">
        <v>331</v>
      </c>
      <c r="B65" s="129"/>
      <c r="C65" s="130"/>
      <c r="D65" s="131"/>
      <c r="E65" s="132"/>
      <c r="F65" s="2"/>
      <c r="G65" s="2"/>
      <c r="H65" s="2"/>
      <c r="I65" s="2"/>
      <c r="J65" s="2"/>
      <c r="K65" s="2"/>
      <c r="L65" s="2"/>
      <c r="M65" s="2"/>
      <c r="N65" s="2"/>
      <c r="O65" s="2"/>
      <c r="P65" s="2"/>
      <c r="Q65" s="2"/>
      <c r="R65" s="2"/>
      <c r="S65" s="2"/>
      <c r="T65" s="2"/>
      <c r="U65" s="2"/>
      <c r="V65" s="2"/>
      <c r="W65" s="2"/>
      <c r="X65" s="2"/>
      <c r="Y65" s="2"/>
      <c r="Z65" s="2"/>
    </row>
    <row r="66" spans="1:26" ht="28.3" x14ac:dyDescent="0.45">
      <c r="A66" s="37" t="s">
        <v>332</v>
      </c>
      <c r="B66" s="38" t="s">
        <v>15</v>
      </c>
      <c r="C66" s="39">
        <v>0</v>
      </c>
      <c r="D66" s="52">
        <v>113.14</v>
      </c>
      <c r="E66" s="40">
        <f t="shared" si="5"/>
        <v>0</v>
      </c>
      <c r="F66" s="2"/>
      <c r="G66" s="2"/>
      <c r="H66" s="2"/>
      <c r="I66" s="2"/>
      <c r="J66" s="2"/>
      <c r="K66" s="2"/>
      <c r="L66" s="2"/>
      <c r="M66" s="2"/>
      <c r="N66" s="2"/>
      <c r="O66" s="2"/>
      <c r="P66" s="2"/>
      <c r="Q66" s="2"/>
      <c r="R66" s="2"/>
      <c r="S66" s="2"/>
      <c r="T66" s="2"/>
      <c r="U66" s="2"/>
      <c r="V66" s="2"/>
      <c r="W66" s="2"/>
      <c r="X66" s="2"/>
      <c r="Y66" s="2"/>
      <c r="Z66" s="2"/>
    </row>
    <row r="67" spans="1:26" ht="42.45" x14ac:dyDescent="0.45">
      <c r="A67" s="37" t="s">
        <v>333</v>
      </c>
      <c r="B67" s="38" t="s">
        <v>15</v>
      </c>
      <c r="C67" s="39">
        <v>0</v>
      </c>
      <c r="D67" s="52">
        <v>110.4</v>
      </c>
      <c r="E67" s="40">
        <f t="shared" si="5"/>
        <v>0</v>
      </c>
      <c r="F67" s="2"/>
      <c r="G67" s="2"/>
      <c r="H67" s="2"/>
      <c r="I67" s="2"/>
      <c r="J67" s="2"/>
      <c r="K67" s="2"/>
      <c r="L67" s="2"/>
      <c r="M67" s="2"/>
      <c r="N67" s="2"/>
      <c r="O67" s="2"/>
      <c r="P67" s="2"/>
      <c r="Q67" s="2"/>
      <c r="R67" s="2"/>
      <c r="S67" s="2"/>
      <c r="T67" s="2"/>
      <c r="U67" s="2"/>
      <c r="V67" s="2"/>
      <c r="W67" s="2"/>
      <c r="X67" s="2"/>
      <c r="Y67" s="2"/>
      <c r="Z67" s="2"/>
    </row>
    <row r="68" spans="1:26" ht="70.75" x14ac:dyDescent="0.45">
      <c r="A68" s="37" t="s">
        <v>334</v>
      </c>
      <c r="B68" s="38" t="s">
        <v>15</v>
      </c>
      <c r="C68" s="39">
        <v>0</v>
      </c>
      <c r="D68" s="52">
        <v>172</v>
      </c>
      <c r="E68" s="40">
        <f t="shared" si="5"/>
        <v>0</v>
      </c>
      <c r="F68" s="2"/>
      <c r="G68" s="2"/>
      <c r="H68" s="2"/>
      <c r="I68" s="2"/>
      <c r="J68" s="2"/>
      <c r="K68" s="2"/>
      <c r="L68" s="2"/>
      <c r="M68" s="2"/>
      <c r="N68" s="2"/>
      <c r="O68" s="2"/>
      <c r="P68" s="2"/>
      <c r="Q68" s="2"/>
      <c r="R68" s="2"/>
      <c r="S68" s="2"/>
      <c r="T68" s="2"/>
      <c r="U68" s="2"/>
      <c r="V68" s="2"/>
      <c r="W68" s="2"/>
      <c r="X68" s="2"/>
      <c r="Y68" s="2"/>
      <c r="Z68" s="2"/>
    </row>
    <row r="69" spans="1:26" ht="70.75" x14ac:dyDescent="0.45">
      <c r="A69" s="37" t="s">
        <v>335</v>
      </c>
      <c r="B69" s="38" t="s">
        <v>15</v>
      </c>
      <c r="C69" s="39">
        <v>0</v>
      </c>
      <c r="D69" s="52">
        <v>390</v>
      </c>
      <c r="E69" s="40">
        <f t="shared" si="5"/>
        <v>0</v>
      </c>
      <c r="F69" s="2"/>
      <c r="G69" s="2"/>
      <c r="H69" s="2"/>
      <c r="I69" s="2"/>
      <c r="J69" s="2"/>
      <c r="K69" s="2"/>
      <c r="L69" s="2"/>
      <c r="M69" s="2"/>
      <c r="N69" s="2"/>
      <c r="O69" s="2"/>
      <c r="P69" s="2"/>
      <c r="Q69" s="2"/>
      <c r="R69" s="2"/>
      <c r="S69" s="2"/>
      <c r="T69" s="2"/>
      <c r="U69" s="2"/>
      <c r="V69" s="2"/>
      <c r="W69" s="2"/>
      <c r="X69" s="2"/>
      <c r="Y69" s="2"/>
      <c r="Z69" s="2"/>
    </row>
    <row r="70" spans="1:26" ht="56.6" x14ac:dyDescent="0.45">
      <c r="A70" s="37" t="s">
        <v>336</v>
      </c>
      <c r="B70" s="38" t="s">
        <v>15</v>
      </c>
      <c r="C70" s="39">
        <v>0</v>
      </c>
      <c r="D70" s="52">
        <v>315</v>
      </c>
      <c r="E70" s="40">
        <f t="shared" ref="E70" si="9">D70*C70</f>
        <v>0</v>
      </c>
      <c r="F70" s="2"/>
      <c r="G70" s="2"/>
      <c r="H70" s="2"/>
      <c r="I70" s="2"/>
      <c r="J70" s="2"/>
      <c r="K70" s="2"/>
      <c r="L70" s="2"/>
      <c r="M70" s="2"/>
      <c r="N70" s="2"/>
      <c r="O70" s="2"/>
      <c r="P70" s="2"/>
      <c r="Q70" s="2"/>
      <c r="R70" s="2"/>
      <c r="S70" s="2"/>
      <c r="T70" s="2"/>
      <c r="U70" s="2"/>
      <c r="V70" s="2"/>
      <c r="W70" s="2"/>
      <c r="X70" s="2"/>
      <c r="Y70" s="2"/>
      <c r="Z70" s="2"/>
    </row>
    <row r="71" spans="1:26" ht="113.15" x14ac:dyDescent="0.45">
      <c r="A71" s="37" t="s">
        <v>337</v>
      </c>
      <c r="B71" s="38" t="s">
        <v>15</v>
      </c>
      <c r="C71" s="39">
        <v>0</v>
      </c>
      <c r="D71" s="52">
        <v>544</v>
      </c>
      <c r="E71" s="40">
        <f t="shared" si="5"/>
        <v>0</v>
      </c>
      <c r="F71" s="2"/>
      <c r="G71" s="2"/>
      <c r="H71" s="2"/>
      <c r="I71" s="2"/>
      <c r="J71" s="2"/>
      <c r="K71" s="2"/>
      <c r="L71" s="2"/>
      <c r="M71" s="2"/>
      <c r="N71" s="2"/>
      <c r="O71" s="2"/>
      <c r="P71" s="2"/>
      <c r="Q71" s="2"/>
      <c r="R71" s="2"/>
      <c r="S71" s="2"/>
      <c r="T71" s="2"/>
      <c r="U71" s="2"/>
      <c r="V71" s="2"/>
      <c r="W71" s="2"/>
      <c r="X71" s="2"/>
      <c r="Y71" s="2"/>
      <c r="Z71" s="2"/>
    </row>
    <row r="72" spans="1:26" ht="42.45" x14ac:dyDescent="0.45">
      <c r="A72" s="37" t="s">
        <v>338</v>
      </c>
      <c r="B72" s="38" t="s">
        <v>15</v>
      </c>
      <c r="C72" s="39">
        <v>0</v>
      </c>
      <c r="D72" s="52">
        <v>253</v>
      </c>
      <c r="E72" s="40">
        <f t="shared" si="5"/>
        <v>0</v>
      </c>
      <c r="F72" s="2"/>
      <c r="G72" s="2"/>
      <c r="H72" s="2"/>
      <c r="I72" s="2"/>
      <c r="J72" s="2"/>
      <c r="K72" s="2"/>
      <c r="L72" s="2"/>
      <c r="M72" s="2"/>
      <c r="N72" s="2"/>
      <c r="O72" s="2"/>
      <c r="P72" s="2"/>
      <c r="Q72" s="2"/>
      <c r="R72" s="2"/>
      <c r="S72" s="2"/>
      <c r="T72" s="2"/>
      <c r="U72" s="2"/>
      <c r="V72" s="2"/>
      <c r="W72" s="2"/>
      <c r="X72" s="2"/>
      <c r="Y72" s="2"/>
      <c r="Z72" s="2"/>
    </row>
    <row r="73" spans="1:26" ht="42.45" x14ac:dyDescent="0.45">
      <c r="A73" s="37" t="s">
        <v>339</v>
      </c>
      <c r="B73" s="38" t="s">
        <v>15</v>
      </c>
      <c r="C73" s="39">
        <v>0</v>
      </c>
      <c r="D73" s="52">
        <v>310</v>
      </c>
      <c r="E73" s="40">
        <f t="shared" si="5"/>
        <v>0</v>
      </c>
      <c r="F73" s="2"/>
      <c r="G73" s="2"/>
      <c r="H73" s="2"/>
      <c r="I73" s="2"/>
      <c r="J73" s="2"/>
      <c r="K73" s="2"/>
      <c r="L73" s="2"/>
      <c r="M73" s="2"/>
      <c r="N73" s="2"/>
      <c r="O73" s="2"/>
      <c r="P73" s="2"/>
      <c r="Q73" s="2"/>
      <c r="R73" s="2"/>
      <c r="S73" s="2"/>
      <c r="T73" s="2"/>
      <c r="U73" s="2"/>
      <c r="V73" s="2"/>
      <c r="W73" s="2"/>
      <c r="X73" s="2"/>
      <c r="Y73" s="2"/>
      <c r="Z73" s="2"/>
    </row>
    <row r="74" spans="1:26" ht="113.15" x14ac:dyDescent="0.45">
      <c r="A74" s="37" t="s">
        <v>340</v>
      </c>
      <c r="B74" s="38" t="s">
        <v>15</v>
      </c>
      <c r="C74" s="39">
        <v>0</v>
      </c>
      <c r="D74" s="52">
        <v>230.18</v>
      </c>
      <c r="E74" s="40">
        <f t="shared" si="5"/>
        <v>0</v>
      </c>
      <c r="F74" s="2"/>
      <c r="G74" s="2"/>
      <c r="H74" s="2"/>
      <c r="I74" s="2"/>
      <c r="J74" s="2"/>
      <c r="K74" s="2"/>
      <c r="L74" s="2"/>
      <c r="M74" s="2"/>
      <c r="N74" s="2"/>
      <c r="O74" s="2"/>
      <c r="P74" s="2"/>
      <c r="Q74" s="2"/>
      <c r="R74" s="2"/>
      <c r="S74" s="2"/>
      <c r="T74" s="2"/>
      <c r="U74" s="2"/>
      <c r="V74" s="2"/>
      <c r="W74" s="2"/>
      <c r="X74" s="2"/>
      <c r="Y74" s="2"/>
      <c r="Z74" s="2"/>
    </row>
    <row r="75" spans="1:26" ht="42.45" x14ac:dyDescent="0.45">
      <c r="A75" s="37" t="s">
        <v>341</v>
      </c>
      <c r="B75" s="38" t="s">
        <v>15</v>
      </c>
      <c r="C75" s="39">
        <v>0</v>
      </c>
      <c r="D75" s="52">
        <v>290.26</v>
      </c>
      <c r="E75" s="40">
        <f t="shared" si="5"/>
        <v>0</v>
      </c>
      <c r="F75" s="2"/>
      <c r="G75" s="2"/>
      <c r="H75" s="2"/>
      <c r="I75" s="2"/>
      <c r="J75" s="2"/>
      <c r="K75" s="2"/>
      <c r="L75" s="2"/>
      <c r="M75" s="2"/>
      <c r="N75" s="2"/>
      <c r="O75" s="2"/>
      <c r="P75" s="2"/>
      <c r="Q75" s="2"/>
      <c r="R75" s="2"/>
      <c r="S75" s="2"/>
      <c r="T75" s="2"/>
      <c r="U75" s="2"/>
      <c r="V75" s="2"/>
      <c r="W75" s="2"/>
      <c r="X75" s="2"/>
      <c r="Y75" s="2"/>
      <c r="Z75" s="2"/>
    </row>
    <row r="76" spans="1:26" ht="42.45" x14ac:dyDescent="0.45">
      <c r="A76" s="37" t="s">
        <v>342</v>
      </c>
      <c r="B76" s="38" t="s">
        <v>15</v>
      </c>
      <c r="C76" s="39">
        <v>0</v>
      </c>
      <c r="D76" s="52">
        <v>326</v>
      </c>
      <c r="E76" s="40">
        <f t="shared" si="5"/>
        <v>0</v>
      </c>
      <c r="F76" s="2"/>
      <c r="G76" s="2"/>
      <c r="H76" s="2"/>
      <c r="I76" s="2"/>
      <c r="J76" s="2"/>
      <c r="K76" s="2"/>
      <c r="L76" s="2"/>
      <c r="M76" s="2"/>
      <c r="N76" s="2"/>
      <c r="O76" s="2"/>
      <c r="P76" s="2"/>
      <c r="Q76" s="2"/>
      <c r="R76" s="2"/>
      <c r="S76" s="2"/>
      <c r="T76" s="2"/>
      <c r="U76" s="2"/>
      <c r="V76" s="2"/>
      <c r="W76" s="2"/>
      <c r="X76" s="2"/>
      <c r="Y76" s="2"/>
      <c r="Z76" s="2"/>
    </row>
    <row r="77" spans="1:26" ht="127.3" x14ac:dyDescent="0.45">
      <c r="A77" s="37" t="s">
        <v>343</v>
      </c>
      <c r="B77" s="38" t="s">
        <v>15</v>
      </c>
      <c r="C77" s="39">
        <v>0</v>
      </c>
      <c r="D77" s="52">
        <v>451.47</v>
      </c>
      <c r="E77" s="40">
        <f t="shared" si="5"/>
        <v>0</v>
      </c>
      <c r="F77" s="2"/>
      <c r="G77" s="2"/>
      <c r="H77" s="2"/>
      <c r="I77" s="2"/>
      <c r="J77" s="2"/>
      <c r="K77" s="2"/>
      <c r="L77" s="2"/>
      <c r="M77" s="2"/>
      <c r="N77" s="2"/>
      <c r="O77" s="2"/>
      <c r="P77" s="2"/>
      <c r="Q77" s="2"/>
      <c r="R77" s="2"/>
      <c r="S77" s="2"/>
      <c r="T77" s="2"/>
      <c r="U77" s="2"/>
      <c r="V77" s="2"/>
      <c r="W77" s="2"/>
      <c r="X77" s="2"/>
      <c r="Y77" s="2"/>
      <c r="Z77" s="2"/>
    </row>
    <row r="78" spans="1:26" ht="42.45" x14ac:dyDescent="0.45">
      <c r="A78" s="37" t="s">
        <v>344</v>
      </c>
      <c r="B78" s="38" t="s">
        <v>15</v>
      </c>
      <c r="C78" s="39">
        <v>0</v>
      </c>
      <c r="D78" s="52">
        <v>53.77</v>
      </c>
      <c r="E78" s="40">
        <f t="shared" si="5"/>
        <v>0</v>
      </c>
      <c r="F78" s="2"/>
      <c r="G78" s="2"/>
      <c r="H78" s="2"/>
      <c r="I78" s="2"/>
      <c r="J78" s="2"/>
      <c r="K78" s="2"/>
      <c r="L78" s="2"/>
      <c r="M78" s="2"/>
      <c r="N78" s="2"/>
      <c r="O78" s="2"/>
      <c r="P78" s="2"/>
      <c r="Q78" s="2"/>
      <c r="R78" s="2"/>
      <c r="S78" s="2"/>
      <c r="T78" s="2"/>
      <c r="U78" s="2"/>
      <c r="V78" s="2"/>
      <c r="W78" s="2"/>
      <c r="X78" s="2"/>
      <c r="Y78" s="2"/>
      <c r="Z78" s="2"/>
    </row>
    <row r="79" spans="1:26" ht="183.9" x14ac:dyDescent="0.45">
      <c r="A79" s="37" t="s">
        <v>345</v>
      </c>
      <c r="B79" s="38" t="s">
        <v>15</v>
      </c>
      <c r="C79" s="39">
        <v>0</v>
      </c>
      <c r="D79" s="52">
        <f>193.38*0.67</f>
        <v>129.56460000000001</v>
      </c>
      <c r="E79" s="40">
        <f t="shared" si="5"/>
        <v>0</v>
      </c>
      <c r="F79" s="2"/>
      <c r="G79" s="2"/>
      <c r="H79" s="2"/>
      <c r="I79" s="2"/>
      <c r="J79" s="2"/>
      <c r="K79" s="2"/>
      <c r="L79" s="2"/>
      <c r="M79" s="2"/>
      <c r="N79" s="2"/>
      <c r="O79" s="2"/>
      <c r="P79" s="2"/>
      <c r="Q79" s="2"/>
      <c r="R79" s="2"/>
      <c r="S79" s="2"/>
      <c r="T79" s="2"/>
      <c r="U79" s="2"/>
      <c r="V79" s="2"/>
      <c r="W79" s="2"/>
      <c r="X79" s="2"/>
      <c r="Y79" s="2"/>
      <c r="Z79" s="2"/>
    </row>
    <row r="80" spans="1:26" ht="212.15" x14ac:dyDescent="0.45">
      <c r="A80" s="37" t="s">
        <v>346</v>
      </c>
      <c r="B80" s="38" t="s">
        <v>15</v>
      </c>
      <c r="C80" s="39">
        <v>0</v>
      </c>
      <c r="D80" s="52">
        <f>196.5*0.84</f>
        <v>165.06</v>
      </c>
      <c r="E80" s="40">
        <f t="shared" si="5"/>
        <v>0</v>
      </c>
      <c r="F80" s="2"/>
      <c r="G80" s="2"/>
      <c r="H80" s="2"/>
      <c r="I80" s="2"/>
      <c r="J80" s="2"/>
      <c r="K80" s="2"/>
      <c r="L80" s="2"/>
      <c r="M80" s="2"/>
      <c r="N80" s="2"/>
      <c r="O80" s="2"/>
      <c r="P80" s="2"/>
      <c r="Q80" s="2"/>
      <c r="R80" s="2"/>
      <c r="S80" s="2"/>
      <c r="T80" s="2"/>
      <c r="U80" s="2"/>
      <c r="V80" s="2"/>
      <c r="W80" s="2"/>
      <c r="X80" s="2"/>
      <c r="Y80" s="2"/>
      <c r="Z80" s="2"/>
    </row>
    <row r="81" spans="1:26" ht="31.3" thickBot="1" x14ac:dyDescent="0.5">
      <c r="A81" s="326" t="s">
        <v>347</v>
      </c>
      <c r="B81" s="70"/>
      <c r="C81" s="70"/>
      <c r="D81" s="49"/>
      <c r="E81" s="327">
        <f>SUM(E20:E80)</f>
        <v>0</v>
      </c>
      <c r="F81" s="2"/>
      <c r="G81" s="2"/>
      <c r="H81" s="2"/>
      <c r="I81" s="2"/>
      <c r="J81" s="2"/>
      <c r="K81" s="2"/>
      <c r="L81" s="2"/>
      <c r="M81" s="2"/>
      <c r="N81" s="2"/>
      <c r="O81" s="2"/>
      <c r="P81" s="2"/>
      <c r="Q81" s="2"/>
      <c r="R81" s="2"/>
      <c r="S81" s="2"/>
      <c r="T81" s="2"/>
      <c r="U81" s="2"/>
      <c r="V81" s="2"/>
      <c r="W81" s="2"/>
      <c r="X81" s="2"/>
      <c r="Y81" s="2"/>
      <c r="Z81" s="2"/>
    </row>
    <row r="82" spans="1:26" ht="18.45" thickBot="1" x14ac:dyDescent="0.5">
      <c r="A82" s="328" t="s">
        <v>348</v>
      </c>
      <c r="B82" s="125"/>
      <c r="C82" s="125"/>
      <c r="D82" s="125"/>
      <c r="E82" s="329">
        <f>E81*1.22</f>
        <v>0</v>
      </c>
      <c r="F82" s="2"/>
      <c r="G82" s="2"/>
      <c r="H82" s="2"/>
      <c r="I82" s="2"/>
      <c r="J82" s="2"/>
      <c r="K82" s="2"/>
      <c r="L82" s="2"/>
      <c r="M82" s="2"/>
      <c r="N82" s="2"/>
      <c r="O82" s="2"/>
      <c r="P82" s="2"/>
      <c r="Q82" s="2"/>
      <c r="R82" s="2"/>
      <c r="S82" s="2"/>
      <c r="T82" s="2"/>
      <c r="U82" s="2"/>
      <c r="V82" s="2"/>
      <c r="W82" s="2"/>
      <c r="X82" s="2"/>
      <c r="Y82" s="2"/>
      <c r="Z82" s="2"/>
    </row>
    <row r="83" spans="1:26" ht="24" customHeight="1" thickBot="1" x14ac:dyDescent="0.5">
      <c r="A83" s="2"/>
      <c r="B83" s="3"/>
      <c r="C83" s="3"/>
      <c r="D83" s="3"/>
      <c r="E83" s="3"/>
      <c r="F83" s="2"/>
      <c r="G83" s="2"/>
      <c r="H83" s="2"/>
      <c r="I83" s="2"/>
      <c r="J83" s="2"/>
      <c r="K83" s="71"/>
      <c r="L83" s="71"/>
      <c r="M83" s="71"/>
      <c r="N83" s="2"/>
      <c r="O83" s="2"/>
      <c r="P83" s="2"/>
      <c r="Q83" s="2"/>
      <c r="R83" s="2"/>
      <c r="S83" s="2"/>
      <c r="T83" s="2"/>
      <c r="U83" s="2"/>
      <c r="V83" s="2"/>
      <c r="W83" s="2"/>
      <c r="X83" s="2"/>
      <c r="Y83" s="2"/>
      <c r="Z83" s="2"/>
    </row>
    <row r="84" spans="1:26" ht="53.15" customHeight="1" thickBot="1" x14ac:dyDescent="0.5">
      <c r="A84" s="497" t="s">
        <v>349</v>
      </c>
      <c r="B84" s="498"/>
      <c r="C84" s="498"/>
      <c r="D84" s="498"/>
      <c r="E84" s="499"/>
      <c r="F84" s="2"/>
      <c r="G84" s="2"/>
      <c r="H84" s="2"/>
      <c r="I84" s="2"/>
      <c r="J84" s="2"/>
      <c r="K84" s="2"/>
      <c r="L84" s="2"/>
      <c r="M84" s="2"/>
      <c r="N84" s="2"/>
      <c r="O84" s="2"/>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2"/>
      <c r="N88" s="2"/>
      <c r="O88" s="2"/>
      <c r="P88" s="3"/>
      <c r="Q88" s="2"/>
      <c r="R88" s="3"/>
      <c r="S88" s="2"/>
      <c r="T88" s="2"/>
      <c r="U88" s="2"/>
      <c r="V88" s="2"/>
      <c r="W88" s="2"/>
      <c r="X88" s="2"/>
      <c r="Y88" s="2"/>
      <c r="Z88" s="2"/>
    </row>
    <row r="89" spans="1:26" ht="14.25" customHeight="1" x14ac:dyDescent="0.45">
      <c r="A89" s="500"/>
      <c r="B89" s="500"/>
      <c r="C89" s="500"/>
      <c r="D89" s="500"/>
      <c r="E89" s="501"/>
      <c r="F89" s="2"/>
      <c r="G89" s="2"/>
      <c r="H89" s="2"/>
      <c r="I89" s="2"/>
      <c r="J89" s="2"/>
      <c r="K89" s="71"/>
      <c r="L89" s="71"/>
      <c r="M89" s="71"/>
      <c r="N89" s="2"/>
      <c r="O89" s="2"/>
      <c r="P89" s="2"/>
      <c r="Q89" s="2"/>
      <c r="R89" s="2"/>
      <c r="S89" s="2"/>
      <c r="T89" s="2"/>
      <c r="U89" s="2"/>
      <c r="V89" s="2"/>
      <c r="W89" s="2"/>
      <c r="X89" s="2"/>
      <c r="Y89" s="2"/>
      <c r="Z89" s="2"/>
    </row>
    <row r="90" spans="1:26" ht="69.75" customHeight="1" x14ac:dyDescent="0.45">
      <c r="F90" s="2"/>
      <c r="G90" s="2"/>
      <c r="H90" s="2"/>
      <c r="I90" s="2"/>
      <c r="J90" s="2"/>
      <c r="K90" s="2"/>
      <c r="L90" s="2"/>
      <c r="M90" s="2"/>
      <c r="N90" s="2"/>
      <c r="O90" s="2"/>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5">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5">
      <c r="A96" s="2"/>
      <c r="B96" s="2"/>
      <c r="C96" s="3"/>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5">
      <c r="A97" s="3"/>
      <c r="B97" s="3"/>
      <c r="C97" s="3"/>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5">
      <c r="A100" s="330"/>
      <c r="B100" s="330"/>
      <c r="C100" s="330"/>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84:E84"/>
    <mergeCell ref="A89:E89"/>
  </mergeCells>
  <pageMargins left="0.7" right="0.7" top="0.75" bottom="0.75" header="0" footer="0"/>
  <pageSetup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X996"/>
  <sheetViews>
    <sheetView workbookViewId="0">
      <selection activeCell="D32" sqref="D32"/>
    </sheetView>
  </sheetViews>
  <sheetFormatPr defaultColWidth="11.140625" defaultRowHeight="15.9" x14ac:dyDescent="0.45"/>
  <cols>
    <col min="1" max="1" width="38.5" bestFit="1" customWidth="1"/>
    <col min="2" max="2" width="4.640625" bestFit="1" customWidth="1"/>
    <col min="3" max="3" width="5" bestFit="1" customWidth="1"/>
    <col min="4" max="4" width="12.85546875" bestFit="1" customWidth="1"/>
    <col min="5" max="5" width="25.85546875" bestFit="1" customWidth="1"/>
    <col min="6" max="6" width="5" customWidth="1"/>
    <col min="7" max="20" width="6.640625" customWidth="1"/>
    <col min="21" max="24" width="8.640625" customWidth="1"/>
  </cols>
  <sheetData>
    <row r="1" spans="1:24" x14ac:dyDescent="0.45">
      <c r="A1" s="42"/>
      <c r="B1" s="42"/>
      <c r="C1" s="42"/>
      <c r="D1" s="59"/>
      <c r="E1" s="290"/>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29/05/2025</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90"/>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Cliente caso 04</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Reggio Emilia (RE)</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9</v>
      </c>
      <c r="B15" s="36" t="s">
        <v>10</v>
      </c>
      <c r="C15" s="36" t="s">
        <v>11</v>
      </c>
      <c r="D15" s="62" t="s">
        <v>12</v>
      </c>
      <c r="E15" s="62" t="s">
        <v>13</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4" ht="20.149999999999999" x14ac:dyDescent="0.45">
      <c r="A17" s="63" t="s">
        <v>350</v>
      </c>
      <c r="B17" s="59"/>
      <c r="C17" s="59"/>
      <c r="D17" s="502"/>
      <c r="E17" s="501"/>
      <c r="F17" s="2"/>
      <c r="G17" s="2"/>
      <c r="H17" s="2"/>
      <c r="I17" s="2"/>
      <c r="J17" s="2"/>
      <c r="K17" s="2"/>
      <c r="L17" s="2"/>
      <c r="M17" s="2"/>
      <c r="N17" s="2"/>
      <c r="O17" s="2"/>
      <c r="P17" s="2"/>
      <c r="Q17" s="2"/>
      <c r="R17" s="2"/>
      <c r="S17" s="2"/>
      <c r="T17" s="2"/>
      <c r="U17" s="2"/>
      <c r="V17" s="2"/>
      <c r="W17" s="2"/>
      <c r="X17" s="2"/>
    </row>
    <row r="18" spans="1:24" ht="127.3" x14ac:dyDescent="0.45">
      <c r="A18" s="37" t="s">
        <v>351</v>
      </c>
      <c r="B18" s="38" t="s">
        <v>15</v>
      </c>
      <c r="C18" s="39">
        <v>0</v>
      </c>
      <c r="D18" s="52">
        <v>192.3</v>
      </c>
      <c r="E18" s="40">
        <f t="shared" ref="E18:E26" si="0">D18*C18</f>
        <v>0</v>
      </c>
      <c r="F18" s="2"/>
      <c r="G18" s="2"/>
      <c r="H18" s="2"/>
      <c r="I18" s="2"/>
      <c r="J18" s="2"/>
      <c r="K18" s="2"/>
      <c r="L18" s="2"/>
      <c r="M18" s="2"/>
      <c r="N18" s="2"/>
      <c r="O18" s="2"/>
      <c r="P18" s="2"/>
      <c r="Q18" s="2"/>
      <c r="R18" s="2"/>
      <c r="S18" s="2"/>
      <c r="T18" s="2"/>
      <c r="U18" s="2"/>
      <c r="V18" s="2"/>
      <c r="W18" s="2"/>
      <c r="X18" s="2"/>
    </row>
    <row r="19" spans="1:24" ht="127.3" x14ac:dyDescent="0.45">
      <c r="A19" s="37" t="s">
        <v>352</v>
      </c>
      <c r="B19" s="38" t="s">
        <v>15</v>
      </c>
      <c r="C19" s="39">
        <v>0</v>
      </c>
      <c r="D19" s="51">
        <v>271.2</v>
      </c>
      <c r="E19" s="47">
        <f t="shared" si="0"/>
        <v>0</v>
      </c>
      <c r="F19" s="2"/>
      <c r="G19" s="2"/>
      <c r="H19" s="2"/>
      <c r="I19" s="2"/>
      <c r="J19" s="2"/>
      <c r="K19" s="2"/>
      <c r="L19" s="2"/>
      <c r="M19" s="2"/>
      <c r="N19" s="2"/>
      <c r="O19" s="2"/>
      <c r="P19" s="2"/>
      <c r="Q19" s="2"/>
      <c r="R19" s="2"/>
      <c r="S19" s="2"/>
      <c r="T19" s="2"/>
      <c r="U19" s="2"/>
      <c r="V19" s="2"/>
      <c r="W19" s="2"/>
      <c r="X19" s="2"/>
    </row>
    <row r="20" spans="1:24" ht="28.3" x14ac:dyDescent="0.45">
      <c r="A20" s="37" t="s">
        <v>353</v>
      </c>
      <c r="B20" s="38" t="s">
        <v>15</v>
      </c>
      <c r="C20" s="39">
        <v>0</v>
      </c>
      <c r="D20" s="51">
        <v>90</v>
      </c>
      <c r="E20" s="47">
        <f t="shared" si="0"/>
        <v>0</v>
      </c>
      <c r="F20" s="2"/>
      <c r="G20" s="2"/>
      <c r="H20" s="2"/>
      <c r="I20" s="2"/>
      <c r="J20" s="2"/>
      <c r="K20" s="2"/>
      <c r="L20" s="2"/>
      <c r="M20" s="2"/>
      <c r="N20" s="2"/>
      <c r="O20" s="2"/>
      <c r="P20" s="2"/>
      <c r="Q20" s="2"/>
      <c r="R20" s="2"/>
      <c r="S20" s="2"/>
      <c r="T20" s="2"/>
      <c r="U20" s="2"/>
      <c r="V20" s="2"/>
      <c r="W20" s="2"/>
      <c r="X20" s="2"/>
    </row>
    <row r="21" spans="1:24" ht="99" x14ac:dyDescent="0.45">
      <c r="A21" s="37" t="s">
        <v>354</v>
      </c>
      <c r="B21" s="38" t="s">
        <v>15</v>
      </c>
      <c r="C21" s="39">
        <v>0</v>
      </c>
      <c r="D21" s="51">
        <v>380.4</v>
      </c>
      <c r="E21" s="47">
        <f t="shared" si="0"/>
        <v>0</v>
      </c>
      <c r="F21" s="2"/>
      <c r="G21" s="2"/>
      <c r="H21" s="2"/>
      <c r="I21" s="2"/>
      <c r="J21" s="2"/>
      <c r="K21" s="2"/>
      <c r="L21" s="2"/>
      <c r="M21" s="2"/>
      <c r="N21" s="2"/>
      <c r="O21" s="2"/>
      <c r="P21" s="2"/>
      <c r="Q21" s="2"/>
      <c r="R21" s="2"/>
      <c r="S21" s="2"/>
      <c r="T21" s="2"/>
      <c r="U21" s="2"/>
      <c r="V21" s="2"/>
      <c r="W21" s="2"/>
      <c r="X21" s="2"/>
    </row>
    <row r="22" spans="1:24" ht="99" x14ac:dyDescent="0.45">
      <c r="A22" s="37" t="s">
        <v>355</v>
      </c>
      <c r="B22" s="38" t="s">
        <v>15</v>
      </c>
      <c r="C22" s="39">
        <v>0</v>
      </c>
      <c r="D22" s="51">
        <v>412.2</v>
      </c>
      <c r="E22" s="47">
        <f t="shared" si="0"/>
        <v>0</v>
      </c>
      <c r="F22" s="2"/>
      <c r="G22" s="2"/>
      <c r="H22" s="2"/>
      <c r="I22" s="2"/>
      <c r="J22" s="2"/>
      <c r="K22" s="2"/>
      <c r="L22" s="2"/>
      <c r="M22" s="2"/>
      <c r="N22" s="2"/>
      <c r="O22" s="2"/>
      <c r="P22" s="2"/>
      <c r="Q22" s="2"/>
      <c r="R22" s="2"/>
      <c r="S22" s="2"/>
      <c r="T22" s="2"/>
      <c r="U22" s="2"/>
      <c r="V22" s="2"/>
      <c r="W22" s="2"/>
      <c r="X22" s="2"/>
    </row>
    <row r="23" spans="1:24" ht="28.3" x14ac:dyDescent="0.45">
      <c r="A23" s="37" t="s">
        <v>356</v>
      </c>
      <c r="B23" s="38" t="s">
        <v>357</v>
      </c>
      <c r="C23" s="39">
        <v>0</v>
      </c>
      <c r="D23" s="51">
        <v>95</v>
      </c>
      <c r="E23" s="47">
        <f t="shared" si="0"/>
        <v>0</v>
      </c>
      <c r="F23" s="2"/>
      <c r="G23" s="2"/>
      <c r="H23" s="2"/>
      <c r="I23" s="2"/>
      <c r="J23" s="2"/>
      <c r="K23" s="2"/>
      <c r="L23" s="2"/>
      <c r="M23" s="2"/>
      <c r="N23" s="2"/>
      <c r="O23" s="2"/>
      <c r="P23" s="2"/>
      <c r="Q23" s="2"/>
      <c r="R23" s="2"/>
      <c r="S23" s="2"/>
      <c r="T23" s="2"/>
      <c r="U23" s="2"/>
      <c r="V23" s="2"/>
      <c r="W23" s="2"/>
      <c r="X23" s="2"/>
    </row>
    <row r="24" spans="1:24" ht="226.3" x14ac:dyDescent="0.45">
      <c r="A24" s="37" t="s">
        <v>358</v>
      </c>
      <c r="B24" s="38" t="s">
        <v>15</v>
      </c>
      <c r="C24" s="39">
        <v>0</v>
      </c>
      <c r="D24" s="51">
        <v>801.6</v>
      </c>
      <c r="E24" s="47">
        <f t="shared" si="0"/>
        <v>0</v>
      </c>
      <c r="F24" s="2"/>
      <c r="G24" s="2"/>
      <c r="H24" s="2"/>
      <c r="I24" s="2"/>
      <c r="J24" s="2"/>
      <c r="K24" s="2"/>
      <c r="L24" s="2"/>
      <c r="M24" s="2"/>
      <c r="N24" s="2"/>
      <c r="O24" s="2"/>
      <c r="P24" s="2"/>
      <c r="Q24" s="2"/>
      <c r="R24" s="2"/>
      <c r="S24" s="2"/>
      <c r="T24" s="2"/>
      <c r="U24" s="2"/>
      <c r="V24" s="2"/>
      <c r="W24" s="2"/>
      <c r="X24" s="2"/>
    </row>
    <row r="25" spans="1:24" ht="42.45" x14ac:dyDescent="0.45">
      <c r="A25" s="37" t="s">
        <v>359</v>
      </c>
      <c r="B25" s="38" t="s">
        <v>15</v>
      </c>
      <c r="C25" s="39">
        <v>0</v>
      </c>
      <c r="D25" s="51">
        <v>300</v>
      </c>
      <c r="E25" s="47">
        <f t="shared" si="0"/>
        <v>0</v>
      </c>
      <c r="F25" s="2"/>
      <c r="G25" s="2"/>
      <c r="H25" s="2"/>
      <c r="I25" s="2"/>
      <c r="J25" s="2"/>
      <c r="K25" s="2"/>
      <c r="L25" s="2"/>
      <c r="M25" s="2"/>
      <c r="N25" s="2"/>
      <c r="O25" s="2"/>
      <c r="P25" s="2"/>
      <c r="Q25" s="2"/>
      <c r="R25" s="2"/>
      <c r="S25" s="2"/>
      <c r="T25" s="2"/>
      <c r="U25" s="2"/>
      <c r="V25" s="2"/>
      <c r="W25" s="2"/>
      <c r="X25" s="2"/>
    </row>
    <row r="26" spans="1:24" ht="42.45" x14ac:dyDescent="0.45">
      <c r="A26" s="37" t="s">
        <v>360</v>
      </c>
      <c r="B26" s="38" t="s">
        <v>15</v>
      </c>
      <c r="C26" s="39">
        <v>0</v>
      </c>
      <c r="D26" s="51">
        <v>450</v>
      </c>
      <c r="E26" s="47">
        <f t="shared" si="0"/>
        <v>0</v>
      </c>
      <c r="F26" s="2"/>
      <c r="G26" s="2"/>
      <c r="H26" s="2"/>
      <c r="I26" s="2"/>
      <c r="J26" s="2"/>
      <c r="K26" s="2"/>
      <c r="L26" s="2"/>
      <c r="M26" s="2"/>
      <c r="N26" s="2"/>
      <c r="O26" s="2"/>
      <c r="P26" s="2"/>
      <c r="Q26" s="2"/>
      <c r="R26" s="2"/>
      <c r="S26" s="2"/>
      <c r="T26" s="2"/>
      <c r="U26" s="2"/>
      <c r="V26" s="2"/>
      <c r="W26" s="2"/>
      <c r="X26" s="2"/>
    </row>
    <row r="27" spans="1:24" ht="268.75" x14ac:dyDescent="0.45">
      <c r="A27" s="45" t="s">
        <v>361</v>
      </c>
      <c r="B27" s="38" t="s">
        <v>63</v>
      </c>
      <c r="C27" s="39">
        <v>0</v>
      </c>
      <c r="D27" s="51">
        <v>760</v>
      </c>
      <c r="E27" s="47">
        <f t="shared" ref="E27:E32" si="1">D27*C27</f>
        <v>0</v>
      </c>
      <c r="F27" s="2"/>
      <c r="G27" s="2"/>
      <c r="H27" s="2"/>
      <c r="I27" s="2"/>
      <c r="J27" s="2"/>
      <c r="K27" s="2"/>
      <c r="L27" s="2"/>
      <c r="M27" s="2"/>
      <c r="N27" s="2"/>
      <c r="O27" s="2"/>
      <c r="P27" s="2"/>
      <c r="Q27" s="2"/>
      <c r="R27" s="2"/>
      <c r="S27" s="2"/>
      <c r="T27" s="2"/>
      <c r="U27" s="2"/>
      <c r="V27" s="2"/>
      <c r="W27" s="2"/>
      <c r="X27" s="2"/>
    </row>
    <row r="28" spans="1:24" ht="268.75" x14ac:dyDescent="0.45">
      <c r="A28" s="45" t="s">
        <v>362</v>
      </c>
      <c r="B28" s="38" t="s">
        <v>63</v>
      </c>
      <c r="C28" s="39">
        <v>0</v>
      </c>
      <c r="D28" s="51">
        <v>850</v>
      </c>
      <c r="E28" s="47">
        <f t="shared" si="1"/>
        <v>0</v>
      </c>
      <c r="F28" s="2"/>
      <c r="G28" s="2"/>
      <c r="H28" s="2"/>
      <c r="I28" s="2"/>
      <c r="J28" s="2"/>
      <c r="K28" s="2"/>
      <c r="L28" s="2"/>
      <c r="M28" s="2"/>
      <c r="N28" s="2"/>
      <c r="O28" s="2"/>
      <c r="P28" s="2"/>
      <c r="Q28" s="2"/>
      <c r="R28" s="2"/>
      <c r="S28" s="2"/>
      <c r="T28" s="2"/>
      <c r="U28" s="2"/>
      <c r="V28" s="2"/>
      <c r="W28" s="2"/>
      <c r="X28" s="2"/>
    </row>
    <row r="29" spans="1:24" ht="169.75" x14ac:dyDescent="0.45">
      <c r="A29" s="45" t="s">
        <v>363</v>
      </c>
      <c r="B29" s="38" t="s">
        <v>63</v>
      </c>
      <c r="C29" s="39">
        <v>0</v>
      </c>
      <c r="D29" s="51">
        <v>280</v>
      </c>
      <c r="E29" s="47">
        <f t="shared" si="1"/>
        <v>0</v>
      </c>
      <c r="F29" s="2"/>
      <c r="G29" s="2"/>
      <c r="H29" s="2"/>
      <c r="I29" s="2"/>
      <c r="J29" s="2"/>
      <c r="K29" s="2"/>
      <c r="L29" s="2"/>
      <c r="M29" s="2"/>
      <c r="N29" s="2"/>
      <c r="O29" s="2"/>
      <c r="P29" s="2"/>
      <c r="Q29" s="2"/>
      <c r="R29" s="2"/>
      <c r="S29" s="2"/>
      <c r="T29" s="2"/>
      <c r="U29" s="2"/>
      <c r="V29" s="2"/>
      <c r="W29" s="2"/>
      <c r="X29" s="2"/>
    </row>
    <row r="30" spans="1:24" ht="169.75" x14ac:dyDescent="0.45">
      <c r="A30" s="45" t="s">
        <v>364</v>
      </c>
      <c r="B30" s="38" t="s">
        <v>63</v>
      </c>
      <c r="C30" s="39">
        <v>0</v>
      </c>
      <c r="D30" s="51">
        <v>330</v>
      </c>
      <c r="E30" s="47">
        <f t="shared" si="1"/>
        <v>0</v>
      </c>
      <c r="F30" s="2"/>
      <c r="G30" s="2"/>
      <c r="H30" s="2"/>
      <c r="I30" s="2"/>
      <c r="J30" s="2"/>
      <c r="K30" s="2"/>
      <c r="L30" s="2"/>
      <c r="M30" s="2"/>
      <c r="N30" s="2"/>
      <c r="O30" s="2"/>
      <c r="P30" s="2"/>
      <c r="Q30" s="2"/>
      <c r="R30" s="2"/>
      <c r="S30" s="2"/>
      <c r="T30" s="2"/>
      <c r="U30" s="2"/>
      <c r="V30" s="2"/>
      <c r="W30" s="2"/>
      <c r="X30" s="2"/>
    </row>
    <row r="31" spans="1:24" ht="169.75" x14ac:dyDescent="0.45">
      <c r="A31" s="45" t="s">
        <v>365</v>
      </c>
      <c r="B31" s="38" t="s">
        <v>79</v>
      </c>
      <c r="C31" s="39">
        <v>0</v>
      </c>
      <c r="D31" s="51">
        <v>400</v>
      </c>
      <c r="E31" s="47">
        <f t="shared" si="1"/>
        <v>0</v>
      </c>
      <c r="F31" s="2"/>
      <c r="G31" s="2"/>
      <c r="H31" s="2"/>
      <c r="I31" s="2"/>
      <c r="J31" s="2"/>
      <c r="K31" s="2"/>
      <c r="L31" s="2"/>
      <c r="M31" s="2"/>
      <c r="N31" s="2"/>
      <c r="O31" s="2"/>
      <c r="P31" s="2"/>
      <c r="Q31" s="2"/>
      <c r="R31" s="2"/>
      <c r="S31" s="2"/>
      <c r="T31" s="2"/>
      <c r="U31" s="2"/>
      <c r="V31" s="2"/>
      <c r="W31" s="2"/>
      <c r="X31" s="2"/>
    </row>
    <row r="32" spans="1:24" ht="129.65" customHeight="1" x14ac:dyDescent="0.45">
      <c r="A32" s="45" t="s">
        <v>366</v>
      </c>
      <c r="B32" s="38" t="s">
        <v>63</v>
      </c>
      <c r="C32" s="39">
        <v>0</v>
      </c>
      <c r="D32" s="51">
        <v>200</v>
      </c>
      <c r="E32" s="47">
        <f t="shared" si="1"/>
        <v>0</v>
      </c>
      <c r="F32" s="2"/>
      <c r="G32" s="2"/>
      <c r="H32" s="2"/>
      <c r="I32" s="2"/>
      <c r="J32" s="2"/>
      <c r="K32" s="2"/>
      <c r="L32" s="2"/>
      <c r="M32" s="2"/>
      <c r="N32" s="2"/>
      <c r="O32" s="2"/>
      <c r="P32" s="2"/>
      <c r="Q32" s="2"/>
      <c r="R32" s="2"/>
      <c r="S32" s="2"/>
      <c r="T32" s="2"/>
      <c r="U32" s="2"/>
      <c r="V32" s="2"/>
      <c r="W32" s="2"/>
      <c r="X32" s="2"/>
    </row>
    <row r="33" spans="1:24" ht="29.6" thickBot="1" x14ac:dyDescent="0.5">
      <c r="A33" s="70" t="s">
        <v>367</v>
      </c>
      <c r="B33" s="48"/>
      <c r="C33" s="48"/>
      <c r="D33" s="49"/>
      <c r="E33" s="327">
        <f>SUM(E18:E32)</f>
        <v>0</v>
      </c>
      <c r="F33" s="2"/>
      <c r="G33" s="2"/>
      <c r="H33" s="2"/>
      <c r="I33" s="2"/>
      <c r="J33" s="2"/>
      <c r="K33" s="2"/>
      <c r="L33" s="2"/>
      <c r="M33" s="2"/>
      <c r="N33" s="2"/>
      <c r="O33" s="2"/>
      <c r="P33" s="2"/>
      <c r="Q33" s="2"/>
      <c r="R33" s="2"/>
      <c r="S33" s="2"/>
      <c r="T33" s="2"/>
      <c r="U33" s="2"/>
      <c r="V33" s="2"/>
      <c r="W33" s="2"/>
    </row>
    <row r="34" spans="1:24" ht="18.45" thickBot="1" x14ac:dyDescent="0.5">
      <c r="A34" s="328" t="s">
        <v>368</v>
      </c>
      <c r="B34" s="328"/>
      <c r="C34" s="328"/>
      <c r="D34" s="328"/>
      <c r="E34" s="329">
        <f>(E33)*1.1</f>
        <v>0</v>
      </c>
      <c r="F34" s="2"/>
      <c r="G34" s="2"/>
      <c r="H34" s="2"/>
      <c r="I34" s="2"/>
      <c r="J34" s="2"/>
      <c r="K34" s="2"/>
      <c r="L34" s="2"/>
      <c r="M34" s="2"/>
      <c r="N34" s="2"/>
      <c r="O34" s="2"/>
      <c r="P34" s="2"/>
      <c r="Q34" s="2"/>
      <c r="R34" s="2"/>
      <c r="S34" s="2"/>
      <c r="T34" s="2"/>
      <c r="U34" s="2"/>
      <c r="V34" s="2"/>
      <c r="W34" s="2"/>
      <c r="X34" s="2"/>
    </row>
    <row r="35" spans="1:24" ht="15" customHeight="1" thickBot="1" x14ac:dyDescent="0.5">
      <c r="A35" s="2"/>
      <c r="B35" s="3"/>
      <c r="C35" s="3"/>
      <c r="D35" s="3"/>
      <c r="E35" s="3"/>
      <c r="F35" s="2"/>
      <c r="G35" s="2"/>
      <c r="H35" s="2"/>
      <c r="I35" s="71"/>
      <c r="J35" s="71"/>
      <c r="K35" s="71"/>
      <c r="L35" s="2"/>
      <c r="M35" s="2"/>
      <c r="N35" s="2"/>
      <c r="O35" s="2"/>
      <c r="P35" s="2"/>
      <c r="Q35" s="2"/>
      <c r="R35" s="2"/>
      <c r="S35" s="2"/>
      <c r="T35" s="2"/>
      <c r="U35" s="2"/>
      <c r="V35" s="2"/>
      <c r="W35" s="2"/>
      <c r="X35" s="2"/>
    </row>
    <row r="36" spans="1:24" ht="53.15" customHeight="1" thickBot="1" x14ac:dyDescent="0.5">
      <c r="A36" s="497" t="s">
        <v>369</v>
      </c>
      <c r="B36" s="498"/>
      <c r="C36" s="498"/>
      <c r="D36" s="498"/>
      <c r="E36" s="499"/>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2"/>
      <c r="R37" s="2"/>
      <c r="S37" s="2"/>
      <c r="T37" s="2"/>
      <c r="U37" s="2"/>
      <c r="V37" s="2"/>
      <c r="W37" s="2"/>
      <c r="X37" s="2"/>
    </row>
    <row r="38" spans="1:24" x14ac:dyDescent="0.45">
      <c r="A38" s="500"/>
      <c r="B38" s="500"/>
      <c r="C38" s="500"/>
      <c r="D38" s="500"/>
      <c r="E38" s="501"/>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6:E36"/>
  </mergeCells>
  <pageMargins left="0.7" right="0.7" top="0.75" bottom="0.75" header="0" footer="0"/>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66"/>
  </sheetPr>
  <dimension ref="A1:Y996"/>
  <sheetViews>
    <sheetView zoomScaleNormal="100" workbookViewId="0">
      <selection activeCell="I46" sqref="I46"/>
    </sheetView>
  </sheetViews>
  <sheetFormatPr defaultColWidth="11.140625" defaultRowHeight="15.9" x14ac:dyDescent="0.45"/>
  <cols>
    <col min="1" max="1" width="38.5" bestFit="1" customWidth="1"/>
    <col min="2" max="2" width="4.640625" bestFit="1" customWidth="1"/>
    <col min="3" max="3" width="7.35546875" bestFit="1" customWidth="1"/>
    <col min="4" max="4" width="12.85546875" bestFit="1" customWidth="1"/>
    <col min="5" max="5" width="25.85546875" bestFit="1" customWidth="1"/>
    <col min="6" max="6" width="5" customWidth="1"/>
    <col min="7" max="20" width="6.640625" customWidth="1"/>
    <col min="21" max="24" width="8.640625" customWidth="1"/>
  </cols>
  <sheetData>
    <row r="1" spans="1:24" x14ac:dyDescent="0.45">
      <c r="A1" s="42"/>
      <c r="B1" s="42"/>
      <c r="C1" s="42"/>
      <c r="D1" s="59"/>
      <c r="E1" s="290"/>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29/05/2025</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90"/>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Cliente caso 04</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Reggio Emilia (RE)</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f>'Analisi preliminareTOTALI'!A11</f>
        <v>0</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f>'Analisi preliminareTOTALI'!A12</f>
        <v>0</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f>'Analisi preliminareTOTALI'!A13</f>
        <v>0</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9</v>
      </c>
      <c r="B15" s="36" t="s">
        <v>10</v>
      </c>
      <c r="C15" s="36" t="s">
        <v>11</v>
      </c>
      <c r="D15" s="62" t="s">
        <v>12</v>
      </c>
      <c r="E15" s="62" t="s">
        <v>13</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5" ht="20.149999999999999" x14ac:dyDescent="0.45">
      <c r="A17" s="63" t="s">
        <v>370</v>
      </c>
      <c r="B17" s="59"/>
      <c r="C17" s="59"/>
      <c r="D17" s="502"/>
      <c r="E17" s="501"/>
      <c r="F17" s="2"/>
      <c r="G17" s="2"/>
      <c r="H17" s="2"/>
      <c r="I17" s="2"/>
      <c r="J17" s="2"/>
      <c r="K17" s="2"/>
      <c r="L17" s="2"/>
      <c r="M17" s="2"/>
      <c r="N17" s="2"/>
      <c r="O17" s="2"/>
      <c r="P17" s="2"/>
      <c r="Q17" s="2"/>
      <c r="R17" s="2"/>
      <c r="S17" s="2"/>
      <c r="T17" s="2"/>
      <c r="U17" s="2"/>
      <c r="V17" s="2"/>
      <c r="W17" s="2"/>
      <c r="X17" s="2"/>
    </row>
    <row r="18" spans="1:25" ht="28.3" x14ac:dyDescent="0.45">
      <c r="A18" s="37" t="s">
        <v>371</v>
      </c>
      <c r="B18" s="38" t="s">
        <v>15</v>
      </c>
      <c r="C18" s="39">
        <v>0</v>
      </c>
      <c r="D18" s="52">
        <v>610</v>
      </c>
      <c r="E18" s="40">
        <f t="shared" ref="E18:E20" si="0">D18*C18</f>
        <v>0</v>
      </c>
      <c r="F18" s="2"/>
      <c r="G18" s="2"/>
      <c r="H18" s="2"/>
      <c r="I18" s="2"/>
      <c r="J18" s="2"/>
      <c r="K18" s="2"/>
      <c r="L18" s="2"/>
      <c r="M18" s="2"/>
      <c r="N18" s="2"/>
      <c r="O18" s="2"/>
      <c r="P18" s="2"/>
      <c r="Q18" s="2"/>
      <c r="R18" s="2"/>
      <c r="S18" s="2"/>
      <c r="T18" s="2"/>
      <c r="U18" s="2"/>
      <c r="V18" s="2"/>
      <c r="W18" s="2"/>
      <c r="X18" s="2"/>
    </row>
    <row r="19" spans="1:25" ht="28.3" x14ac:dyDescent="0.45">
      <c r="A19" s="37" t="s">
        <v>372</v>
      </c>
      <c r="B19" s="38" t="s">
        <v>15</v>
      </c>
      <c r="C19" s="39">
        <v>0</v>
      </c>
      <c r="D19" s="51">
        <v>1358</v>
      </c>
      <c r="E19" s="47">
        <f t="shared" si="0"/>
        <v>0</v>
      </c>
      <c r="F19" s="2"/>
      <c r="G19" s="2"/>
      <c r="H19" s="2"/>
      <c r="I19" s="2"/>
      <c r="J19" s="2"/>
      <c r="K19" s="2"/>
      <c r="L19" s="2"/>
      <c r="M19" s="2"/>
      <c r="N19" s="2"/>
      <c r="O19" s="2"/>
      <c r="P19" s="2"/>
      <c r="Q19" s="2"/>
      <c r="R19" s="2"/>
      <c r="S19" s="2"/>
      <c r="T19" s="2"/>
      <c r="U19" s="2"/>
      <c r="V19" s="2"/>
      <c r="W19" s="2"/>
      <c r="X19" s="2"/>
    </row>
    <row r="20" spans="1:25" ht="28.3" x14ac:dyDescent="0.45">
      <c r="A20" s="37" t="s">
        <v>373</v>
      </c>
      <c r="B20" s="38" t="s">
        <v>15</v>
      </c>
      <c r="C20" s="39">
        <v>0</v>
      </c>
      <c r="D20" s="51">
        <v>2025</v>
      </c>
      <c r="E20" s="47">
        <f t="shared" si="0"/>
        <v>0</v>
      </c>
      <c r="F20" s="2"/>
      <c r="G20" s="2"/>
      <c r="H20" s="2"/>
      <c r="I20" s="2"/>
      <c r="J20" s="2"/>
      <c r="K20" s="2"/>
      <c r="L20" s="2"/>
      <c r="M20" s="2"/>
      <c r="N20" s="2"/>
      <c r="O20" s="2"/>
      <c r="P20" s="2"/>
      <c r="Q20" s="2"/>
      <c r="R20" s="2"/>
      <c r="S20" s="2"/>
      <c r="T20" s="2"/>
      <c r="U20" s="2"/>
      <c r="V20" s="2"/>
      <c r="W20" s="2"/>
      <c r="X20" s="2"/>
    </row>
    <row r="21" spans="1:25" ht="28.3" x14ac:dyDescent="0.45">
      <c r="A21" s="37" t="s">
        <v>374</v>
      </c>
      <c r="B21" s="38" t="s">
        <v>15</v>
      </c>
      <c r="C21" s="39">
        <v>0</v>
      </c>
      <c r="D21" s="52">
        <v>1276</v>
      </c>
      <c r="E21" s="40">
        <f t="shared" ref="E21:E26" si="1">D21*C21</f>
        <v>0</v>
      </c>
      <c r="F21" s="2"/>
      <c r="G21" s="2"/>
      <c r="H21" s="2"/>
      <c r="I21" s="2"/>
      <c r="J21" s="2"/>
      <c r="K21" s="2"/>
      <c r="L21" s="2"/>
      <c r="M21" s="2"/>
      <c r="N21" s="2"/>
      <c r="O21" s="2"/>
      <c r="P21" s="2"/>
      <c r="Q21" s="2"/>
      <c r="R21" s="2"/>
      <c r="S21" s="2"/>
      <c r="T21" s="2"/>
      <c r="U21" s="2"/>
      <c r="V21" s="2"/>
      <c r="W21" s="2"/>
      <c r="X21" s="2"/>
    </row>
    <row r="22" spans="1:25" ht="28.3" x14ac:dyDescent="0.45">
      <c r="A22" s="37" t="s">
        <v>375</v>
      </c>
      <c r="B22" s="38" t="s">
        <v>15</v>
      </c>
      <c r="C22" s="39">
        <v>0</v>
      </c>
      <c r="D22" s="51">
        <v>2514</v>
      </c>
      <c r="E22" s="47">
        <f t="shared" si="1"/>
        <v>0</v>
      </c>
      <c r="F22" s="2"/>
      <c r="G22" s="2"/>
      <c r="H22" s="2"/>
      <c r="I22" s="2"/>
      <c r="J22" s="2"/>
      <c r="K22" s="2"/>
      <c r="L22" s="2"/>
      <c r="M22" s="2"/>
      <c r="N22" s="2"/>
      <c r="O22" s="2"/>
      <c r="P22" s="2"/>
      <c r="Q22" s="2"/>
      <c r="R22" s="2"/>
      <c r="S22" s="2"/>
      <c r="T22" s="2"/>
      <c r="U22" s="2"/>
      <c r="V22" s="2"/>
      <c r="W22" s="2"/>
      <c r="X22" s="2"/>
    </row>
    <row r="23" spans="1:25" ht="28.3" x14ac:dyDescent="0.45">
      <c r="A23" s="37" t="s">
        <v>376</v>
      </c>
      <c r="B23" s="38" t="s">
        <v>15</v>
      </c>
      <c r="C23" s="39">
        <v>0</v>
      </c>
      <c r="D23" s="51">
        <v>3852</v>
      </c>
      <c r="E23" s="47">
        <f t="shared" si="1"/>
        <v>0</v>
      </c>
      <c r="F23" s="2"/>
      <c r="G23" s="2"/>
      <c r="H23" s="2"/>
      <c r="I23" s="2"/>
      <c r="J23" s="2"/>
      <c r="K23" s="2"/>
      <c r="L23" s="2"/>
      <c r="M23" s="2"/>
      <c r="N23" s="2"/>
      <c r="O23" s="2"/>
      <c r="P23" s="2"/>
      <c r="Q23" s="2"/>
      <c r="R23" s="2"/>
      <c r="S23" s="2"/>
      <c r="T23" s="2"/>
      <c r="U23" s="2"/>
      <c r="V23" s="2"/>
      <c r="W23" s="2"/>
      <c r="X23" s="2"/>
    </row>
    <row r="24" spans="1:25" ht="28.3" x14ac:dyDescent="0.45">
      <c r="A24" s="37" t="s">
        <v>377</v>
      </c>
      <c r="B24" s="38" t="s">
        <v>15</v>
      </c>
      <c r="C24" s="39">
        <v>0</v>
      </c>
      <c r="D24" s="52">
        <v>1500</v>
      </c>
      <c r="E24" s="40">
        <f t="shared" si="1"/>
        <v>0</v>
      </c>
      <c r="F24" s="2"/>
      <c r="G24" s="2"/>
      <c r="H24" s="2"/>
      <c r="I24" s="2"/>
      <c r="J24" s="2"/>
      <c r="K24" s="2"/>
      <c r="L24" s="2"/>
      <c r="M24" s="2"/>
      <c r="N24" s="2"/>
      <c r="O24" s="2"/>
      <c r="P24" s="2"/>
      <c r="Q24" s="2"/>
      <c r="R24" s="2"/>
      <c r="S24" s="2"/>
      <c r="T24" s="2"/>
      <c r="U24" s="2"/>
      <c r="V24" s="2"/>
      <c r="W24" s="2"/>
      <c r="X24" s="2"/>
    </row>
    <row r="25" spans="1:25" x14ac:dyDescent="0.45">
      <c r="A25" s="37" t="s">
        <v>378</v>
      </c>
      <c r="B25" s="38" t="s">
        <v>15</v>
      </c>
      <c r="C25" s="39">
        <v>0</v>
      </c>
      <c r="D25" s="51">
        <v>580</v>
      </c>
      <c r="E25" s="47">
        <f t="shared" si="1"/>
        <v>0</v>
      </c>
      <c r="F25" s="2"/>
      <c r="G25" s="2"/>
      <c r="H25" s="2"/>
      <c r="I25" s="2"/>
      <c r="J25" s="2"/>
      <c r="K25" s="2"/>
      <c r="L25" s="2"/>
      <c r="M25" s="2"/>
      <c r="N25" s="2"/>
      <c r="O25" s="2"/>
      <c r="P25" s="2"/>
      <c r="Q25" s="2"/>
      <c r="R25" s="2"/>
      <c r="S25" s="2"/>
      <c r="T25" s="2"/>
      <c r="U25" s="2"/>
      <c r="V25" s="2"/>
      <c r="W25" s="2"/>
      <c r="X25" s="2"/>
    </row>
    <row r="26" spans="1:25" ht="28.3" x14ac:dyDescent="0.45">
      <c r="A26" s="37" t="s">
        <v>379</v>
      </c>
      <c r="B26" s="38" t="s">
        <v>15</v>
      </c>
      <c r="C26" s="39">
        <v>0</v>
      </c>
      <c r="D26" s="51">
        <v>350</v>
      </c>
      <c r="E26" s="47">
        <f t="shared" si="1"/>
        <v>0</v>
      </c>
      <c r="F26" s="2"/>
      <c r="G26" s="2"/>
      <c r="H26" s="2"/>
      <c r="I26" s="2"/>
      <c r="J26" s="2"/>
      <c r="K26" s="2"/>
      <c r="L26" s="2"/>
      <c r="M26" s="2"/>
      <c r="N26" s="2"/>
      <c r="O26" s="2"/>
      <c r="P26" s="2"/>
      <c r="Q26" s="2"/>
      <c r="R26" s="2"/>
      <c r="S26" s="2"/>
      <c r="T26" s="2"/>
      <c r="U26" s="2"/>
      <c r="V26" s="2"/>
      <c r="W26" s="2"/>
      <c r="X26" s="2"/>
    </row>
    <row r="27" spans="1:25" x14ac:dyDescent="0.45">
      <c r="A27" s="37" t="s">
        <v>380</v>
      </c>
      <c r="B27" s="38" t="s">
        <v>15</v>
      </c>
      <c r="C27" s="39">
        <v>0</v>
      </c>
      <c r="D27" s="52">
        <v>198</v>
      </c>
      <c r="E27" s="40">
        <f t="shared" ref="E27" si="2">D27*C27</f>
        <v>0</v>
      </c>
      <c r="F27" s="2"/>
      <c r="G27" s="2"/>
      <c r="H27" s="2"/>
      <c r="I27" s="2"/>
      <c r="J27" s="2"/>
      <c r="K27" s="2"/>
      <c r="L27" s="2"/>
      <c r="M27" s="2"/>
      <c r="N27" s="2"/>
      <c r="O27" s="2"/>
      <c r="P27" s="2"/>
      <c r="Q27" s="2"/>
      <c r="R27" s="2"/>
      <c r="S27" s="2"/>
      <c r="T27" s="2"/>
      <c r="U27" s="2"/>
      <c r="V27" s="2"/>
      <c r="W27" s="2"/>
      <c r="X27" s="2"/>
    </row>
    <row r="28" spans="1:25" ht="18" thickBot="1" x14ac:dyDescent="0.5">
      <c r="A28" s="70" t="s">
        <v>381</v>
      </c>
      <c r="B28" s="48"/>
      <c r="C28" s="48"/>
      <c r="D28" s="49"/>
      <c r="E28" s="327">
        <f>SUM(E18:E27)</f>
        <v>0</v>
      </c>
      <c r="F28" s="2"/>
      <c r="G28" s="2"/>
      <c r="H28" s="2"/>
      <c r="I28" s="2"/>
      <c r="J28" s="2"/>
      <c r="K28" s="2"/>
      <c r="L28" s="2"/>
      <c r="M28" s="2"/>
      <c r="N28" s="2"/>
      <c r="O28" s="2"/>
      <c r="P28" s="2"/>
      <c r="Q28" s="2"/>
      <c r="R28" s="2"/>
      <c r="S28" s="2"/>
      <c r="T28" s="2"/>
      <c r="U28" s="2"/>
      <c r="V28" s="2"/>
      <c r="W28" s="2"/>
      <c r="X28" s="2"/>
    </row>
    <row r="29" spans="1:25" ht="18.45" thickBot="1" x14ac:dyDescent="0.5">
      <c r="A29" s="328" t="s">
        <v>382</v>
      </c>
      <c r="B29" s="328"/>
      <c r="C29" s="328"/>
      <c r="D29" s="328"/>
      <c r="E29" s="329">
        <f>(E28)*1.1</f>
        <v>0</v>
      </c>
      <c r="F29" s="2"/>
      <c r="G29" s="2"/>
      <c r="H29" s="2"/>
      <c r="I29" s="2"/>
      <c r="J29" s="2"/>
      <c r="K29" s="2"/>
      <c r="L29" s="2"/>
      <c r="M29" s="2"/>
      <c r="N29" s="2"/>
      <c r="O29" s="2"/>
      <c r="P29" s="2"/>
      <c r="Q29" s="2"/>
      <c r="R29" s="2"/>
      <c r="S29" s="2"/>
      <c r="T29" s="2"/>
      <c r="U29" s="2"/>
      <c r="V29" s="2"/>
      <c r="W29" s="2"/>
      <c r="X29" s="2"/>
      <c r="Y29" s="2"/>
    </row>
    <row r="30" spans="1:25" ht="24" customHeight="1" thickBot="1" x14ac:dyDescent="0.5">
      <c r="A30" s="2"/>
      <c r="B30" s="3"/>
      <c r="C30" s="3"/>
      <c r="D30" s="3"/>
      <c r="E30" s="3"/>
      <c r="F30" s="2"/>
      <c r="G30" s="2"/>
      <c r="H30" s="2"/>
      <c r="I30" s="2"/>
      <c r="J30" s="71"/>
      <c r="K30" s="71"/>
      <c r="L30" s="71"/>
      <c r="M30" s="2"/>
      <c r="N30" s="2"/>
      <c r="O30" s="2"/>
      <c r="P30" s="2"/>
      <c r="Q30" s="2"/>
      <c r="R30" s="2"/>
      <c r="S30" s="2"/>
      <c r="T30" s="2"/>
      <c r="U30" s="2"/>
      <c r="V30" s="2"/>
      <c r="W30" s="2"/>
      <c r="X30" s="2"/>
      <c r="Y30" s="2"/>
    </row>
    <row r="31" spans="1:25" ht="53.15" customHeight="1" thickBot="1" x14ac:dyDescent="0.5">
      <c r="A31" s="497" t="s">
        <v>349</v>
      </c>
      <c r="B31" s="498"/>
      <c r="C31" s="498"/>
      <c r="D31" s="498"/>
      <c r="E31" s="499"/>
      <c r="F31" s="2"/>
      <c r="G31" s="2"/>
      <c r="H31" s="2"/>
      <c r="I31" s="2"/>
      <c r="J31" s="2"/>
      <c r="K31" s="2"/>
      <c r="L31" s="2"/>
      <c r="M31" s="2"/>
      <c r="N31" s="2"/>
      <c r="O31" s="2"/>
      <c r="P31" s="2"/>
      <c r="Q31" s="2"/>
      <c r="R31" s="2"/>
      <c r="S31" s="2"/>
      <c r="T31" s="2"/>
      <c r="U31" s="2"/>
      <c r="V31" s="2"/>
      <c r="W31" s="2"/>
      <c r="X31" s="2"/>
      <c r="Y31" s="2"/>
    </row>
    <row r="32" spans="1:25" x14ac:dyDescent="0.45">
      <c r="A32" s="2"/>
      <c r="B32" s="2"/>
      <c r="C32" s="2"/>
      <c r="D32" s="2"/>
      <c r="E32" s="2"/>
      <c r="F32" s="2"/>
      <c r="G32" s="2"/>
      <c r="H32" s="2"/>
      <c r="I32" s="2"/>
      <c r="J32" s="2"/>
      <c r="K32" s="2"/>
      <c r="L32" s="2"/>
      <c r="M32" s="2"/>
      <c r="N32" s="2"/>
      <c r="O32" s="2"/>
      <c r="P32" s="2"/>
      <c r="Q32" s="2"/>
      <c r="R32" s="2"/>
      <c r="S32" s="2"/>
      <c r="T32" s="2"/>
      <c r="U32" s="2"/>
      <c r="V32" s="2"/>
      <c r="W32" s="2"/>
      <c r="X32" s="2"/>
    </row>
    <row r="33" spans="1:24" x14ac:dyDescent="0.45">
      <c r="A33" s="2"/>
      <c r="B33" s="3"/>
      <c r="C33" s="3"/>
      <c r="D33" s="3"/>
      <c r="E33" s="3"/>
      <c r="F33" s="2"/>
      <c r="G33" s="2"/>
      <c r="H33" s="2"/>
      <c r="I33" s="2"/>
      <c r="J33" s="2"/>
      <c r="K33" s="2"/>
      <c r="L33" s="2"/>
      <c r="M33" s="2"/>
      <c r="N33" s="2"/>
      <c r="O33" s="2"/>
      <c r="P33" s="2"/>
      <c r="Q33" s="2"/>
      <c r="R33" s="71"/>
      <c r="S33" s="71"/>
      <c r="T33" s="71"/>
      <c r="U33" s="2"/>
      <c r="V33" s="2"/>
      <c r="W33" s="2"/>
      <c r="X33" s="2"/>
    </row>
    <row r="34" spans="1:24" x14ac:dyDescent="0.45">
      <c r="A34" s="2"/>
      <c r="B34" s="2"/>
      <c r="C34" s="2"/>
      <c r="D34" s="2"/>
      <c r="E34" s="2"/>
      <c r="F34" s="2"/>
      <c r="G34" s="2"/>
      <c r="H34" s="2"/>
      <c r="I34" s="2"/>
      <c r="J34" s="2"/>
      <c r="K34" s="2"/>
      <c r="L34" s="2"/>
      <c r="M34" s="2"/>
      <c r="N34" s="2"/>
      <c r="O34" s="2"/>
      <c r="P34" s="2"/>
      <c r="Q34" s="2"/>
      <c r="R34" s="2"/>
      <c r="S34" s="2"/>
      <c r="T34" s="2"/>
      <c r="U34" s="2"/>
      <c r="V34" s="2"/>
      <c r="W34" s="2"/>
      <c r="X34" s="2"/>
    </row>
    <row r="35" spans="1:24" x14ac:dyDescent="0.45">
      <c r="A35" s="2"/>
      <c r="B35" s="2"/>
      <c r="C35" s="2"/>
      <c r="D35" s="2"/>
      <c r="E35" s="2"/>
      <c r="F35" s="2"/>
      <c r="G35" s="2"/>
      <c r="H35" s="2"/>
      <c r="I35" s="2"/>
      <c r="J35" s="2"/>
      <c r="K35" s="2"/>
      <c r="L35" s="2"/>
      <c r="M35" s="2"/>
      <c r="N35" s="2"/>
      <c r="O35" s="2"/>
      <c r="P35" s="2"/>
      <c r="Q35" s="2"/>
      <c r="R35" s="2"/>
      <c r="S35" s="2"/>
      <c r="T35" s="2"/>
      <c r="U35" s="2"/>
      <c r="V35" s="2"/>
      <c r="W35" s="2"/>
      <c r="X35" s="2"/>
    </row>
    <row r="36" spans="1:24" x14ac:dyDescent="0.45">
      <c r="A36" s="2"/>
      <c r="B36" s="2"/>
      <c r="C36" s="2"/>
      <c r="D36" s="2"/>
      <c r="E36" s="2"/>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3"/>
      <c r="R37" s="2"/>
      <c r="S37" s="3"/>
      <c r="T37" s="2"/>
      <c r="U37" s="2"/>
      <c r="V37" s="2"/>
      <c r="W37" s="2"/>
      <c r="X37" s="2"/>
    </row>
    <row r="38" spans="1:24" x14ac:dyDescent="0.45">
      <c r="A38" s="500"/>
      <c r="B38" s="500"/>
      <c r="C38" s="500"/>
      <c r="D38" s="500"/>
      <c r="E38" s="501"/>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1:E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6" sqref="A6"/>
    </sheetView>
  </sheetViews>
  <sheetFormatPr defaultRowHeight="15.9" x14ac:dyDescent="0.45"/>
  <cols>
    <col min="1" max="1" width="10.5" customWidth="1"/>
  </cols>
  <sheetData>
    <row r="1" spans="1:1" x14ac:dyDescent="0.45">
      <c r="A1" t="s">
        <v>383</v>
      </c>
    </row>
    <row r="2" spans="1:1" x14ac:dyDescent="0.45">
      <c r="A2">
        <v>0.65</v>
      </c>
    </row>
    <row r="3" spans="1:1" x14ac:dyDescent="0.45">
      <c r="A3">
        <v>0.6</v>
      </c>
    </row>
    <row r="4" spans="1:1" x14ac:dyDescent="0.45">
      <c r="A4">
        <v>0.55000000000000004</v>
      </c>
    </row>
    <row r="5" spans="1:1" x14ac:dyDescent="0.45">
      <c r="A5">
        <v>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140625" defaultRowHeight="15" customHeight="1" x14ac:dyDescent="0.45"/>
  <cols>
    <col min="1" max="4" width="7.140625" customWidth="1"/>
    <col min="5" max="5" width="9.140625" customWidth="1"/>
    <col min="6" max="6" width="7.140625" customWidth="1"/>
    <col min="7" max="7" width="14.85546875" customWidth="1"/>
    <col min="8" max="26" width="7.140625" customWidth="1"/>
  </cols>
  <sheetData>
    <row r="1" spans="1:26" ht="14.25" customHeight="1" x14ac:dyDescent="0.7">
      <c r="A1" s="331" t="s">
        <v>384</v>
      </c>
      <c r="B1" s="332"/>
      <c r="C1" s="332"/>
      <c r="D1" s="332"/>
      <c r="E1" s="333"/>
      <c r="F1" s="72"/>
      <c r="G1" s="73" t="e">
        <f>'A-EDILE'!#REF!</f>
        <v>#REF!</v>
      </c>
      <c r="H1" s="72"/>
      <c r="I1" s="72"/>
      <c r="J1" s="72"/>
      <c r="K1" s="72"/>
      <c r="L1" s="72"/>
      <c r="M1" s="72"/>
      <c r="N1" s="72"/>
      <c r="O1" s="72"/>
      <c r="P1" s="72"/>
      <c r="Q1" s="72"/>
      <c r="R1" s="72"/>
      <c r="S1" s="72"/>
      <c r="T1" s="72"/>
      <c r="U1" s="72"/>
      <c r="V1" s="72"/>
      <c r="W1" s="72"/>
      <c r="X1" s="72"/>
      <c r="Y1" s="72"/>
      <c r="Z1" s="72"/>
    </row>
    <row r="2" spans="1:26" ht="14.25" customHeight="1" x14ac:dyDescent="0.45">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4.25" customHeight="1" x14ac:dyDescent="0.7">
      <c r="A3" s="334" t="s">
        <v>385</v>
      </c>
      <c r="B3" s="335"/>
      <c r="C3" s="335"/>
      <c r="D3" s="335"/>
      <c r="E3" s="336"/>
      <c r="F3" s="72"/>
      <c r="G3" s="74" t="e">
        <f>'A-EDILE'!#REF!</f>
        <v>#REF!</v>
      </c>
      <c r="H3" s="72"/>
      <c r="I3" s="72"/>
      <c r="J3" s="72"/>
      <c r="K3" s="72"/>
      <c r="L3" s="72"/>
      <c r="M3" s="72"/>
      <c r="N3" s="72"/>
      <c r="O3" s="72"/>
      <c r="P3" s="72"/>
      <c r="Q3" s="72"/>
      <c r="R3" s="72"/>
      <c r="S3" s="72"/>
      <c r="T3" s="72"/>
      <c r="U3" s="72"/>
      <c r="V3" s="72"/>
      <c r="W3" s="72"/>
      <c r="X3" s="72"/>
      <c r="Y3" s="72"/>
      <c r="Z3" s="72"/>
    </row>
    <row r="4" spans="1:26" ht="14.25" customHeight="1" x14ac:dyDescent="0.45">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4.25" customHeight="1" x14ac:dyDescent="0.7">
      <c r="A5" s="331" t="s">
        <v>386</v>
      </c>
      <c r="B5" s="332"/>
      <c r="C5" s="332"/>
      <c r="D5" s="332"/>
      <c r="E5" s="333"/>
      <c r="F5" s="72"/>
      <c r="G5" s="73">
        <f>'B-FINITURE'!E81</f>
        <v>0</v>
      </c>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72"/>
      <c r="G6" s="72"/>
      <c r="H6" s="72"/>
      <c r="I6" s="72"/>
      <c r="J6" s="72"/>
      <c r="K6" s="72"/>
      <c r="L6" s="72"/>
      <c r="M6" s="72"/>
      <c r="N6" s="72"/>
      <c r="O6" s="72"/>
      <c r="P6" s="72"/>
      <c r="Q6" s="72"/>
      <c r="R6" s="72"/>
      <c r="S6" s="72"/>
      <c r="T6" s="72"/>
      <c r="U6" s="72"/>
      <c r="V6" s="72"/>
      <c r="W6" s="72"/>
      <c r="X6" s="72"/>
      <c r="Y6" s="72"/>
      <c r="Z6" s="72"/>
    </row>
    <row r="7" spans="1:26" ht="14.25" customHeight="1" x14ac:dyDescent="0.7">
      <c r="A7" s="334" t="s">
        <v>387</v>
      </c>
      <c r="B7" s="335"/>
      <c r="C7" s="335"/>
      <c r="D7" s="335"/>
      <c r="E7" s="336"/>
      <c r="F7" s="72"/>
      <c r="G7" s="74">
        <f>'B-FINITURE'!E81</f>
        <v>0</v>
      </c>
      <c r="H7" s="72"/>
      <c r="I7" s="72"/>
      <c r="J7" s="72"/>
      <c r="K7" s="72"/>
      <c r="L7" s="72"/>
      <c r="M7" s="72"/>
      <c r="N7" s="72"/>
      <c r="O7" s="72"/>
      <c r="P7" s="72"/>
      <c r="Q7" s="72"/>
      <c r="R7" s="72"/>
      <c r="S7" s="72"/>
      <c r="T7" s="72"/>
      <c r="U7" s="72"/>
      <c r="V7" s="72"/>
      <c r="W7" s="72"/>
      <c r="X7" s="72"/>
      <c r="Y7" s="72"/>
      <c r="Z7" s="72"/>
    </row>
    <row r="8" spans="1:26" ht="14.25" customHeight="1" x14ac:dyDescent="0.45">
      <c r="A8" s="72"/>
      <c r="B8" s="72"/>
      <c r="C8" s="72"/>
      <c r="D8" s="72"/>
      <c r="E8" s="72"/>
      <c r="F8" s="72"/>
      <c r="G8" s="72"/>
      <c r="H8" s="72"/>
      <c r="I8" s="72"/>
      <c r="J8" s="72"/>
      <c r="K8" s="72"/>
      <c r="L8" s="72"/>
      <c r="M8" s="72"/>
      <c r="N8" s="72"/>
      <c r="O8" s="72"/>
      <c r="P8" s="72"/>
      <c r="Q8" s="72"/>
      <c r="R8" s="72"/>
      <c r="S8" s="72"/>
      <c r="T8" s="72"/>
      <c r="U8" s="72"/>
      <c r="V8" s="72"/>
      <c r="W8" s="72"/>
      <c r="X8" s="72"/>
      <c r="Y8" s="72"/>
      <c r="Z8" s="72"/>
    </row>
    <row r="9" spans="1:26" ht="14.25" customHeight="1" x14ac:dyDescent="0.7">
      <c r="A9" s="331" t="s">
        <v>388</v>
      </c>
      <c r="B9" s="332"/>
      <c r="C9" s="332"/>
      <c r="D9" s="332"/>
      <c r="E9" s="333"/>
      <c r="F9" s="72"/>
      <c r="G9" s="73" t="e">
        <f>'C- SERRAMENTI PORTE  '!#REF!</f>
        <v>#REF!</v>
      </c>
      <c r="H9" s="72"/>
      <c r="I9" s="72"/>
      <c r="J9" s="72"/>
      <c r="K9" s="72"/>
      <c r="L9" s="72"/>
      <c r="M9" s="72"/>
      <c r="N9" s="72"/>
      <c r="O9" s="72"/>
      <c r="P9" s="72"/>
      <c r="Q9" s="72"/>
      <c r="R9" s="72"/>
      <c r="S9" s="72"/>
      <c r="T9" s="72"/>
      <c r="U9" s="72"/>
      <c r="V9" s="72"/>
      <c r="W9" s="72"/>
      <c r="X9" s="72"/>
      <c r="Y9" s="72"/>
      <c r="Z9" s="72"/>
    </row>
    <row r="10" spans="1:26" ht="14.25" customHeight="1" x14ac:dyDescent="0.45">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ht="14.25" customHeight="1" x14ac:dyDescent="0.7">
      <c r="A11" s="334" t="s">
        <v>389</v>
      </c>
      <c r="B11" s="335"/>
      <c r="C11" s="335"/>
      <c r="D11" s="335"/>
      <c r="E11" s="336"/>
      <c r="F11" s="72"/>
      <c r="G11" s="74" t="e">
        <f>'C- SERRAMENTI PORTE  '!#REF!</f>
        <v>#REF!</v>
      </c>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workbookViewId="0">
      <selection activeCell="A8" sqref="A8"/>
    </sheetView>
  </sheetViews>
  <sheetFormatPr defaultColWidth="11.140625" defaultRowHeight="15" customHeight="1" x14ac:dyDescent="0.45"/>
  <cols>
    <col min="1" max="1" width="21.640625" bestFit="1" customWidth="1"/>
    <col min="2" max="2" width="12" bestFit="1" customWidth="1"/>
    <col min="3" max="3" width="6.640625" customWidth="1"/>
    <col min="4" max="4" width="20" bestFit="1" customWidth="1"/>
    <col min="5" max="5" width="10.640625" customWidth="1"/>
    <col min="6" max="6" width="10.640625" bestFit="1" customWidth="1"/>
    <col min="7" max="7" width="10.140625" bestFit="1" customWidth="1"/>
    <col min="8" max="26" width="7.140625" customWidth="1"/>
  </cols>
  <sheetData>
    <row r="1" spans="1:26" ht="14.25" customHeight="1" x14ac:dyDescent="0.45">
      <c r="A1" s="503" t="s">
        <v>390</v>
      </c>
      <c r="B1" s="504"/>
      <c r="C1" s="504"/>
      <c r="D1" s="504"/>
      <c r="E1" s="504"/>
      <c r="F1" s="504"/>
      <c r="G1" s="72"/>
      <c r="H1" s="72"/>
      <c r="I1" s="72"/>
      <c r="J1" s="72"/>
      <c r="K1" s="72"/>
      <c r="L1" s="72"/>
      <c r="M1" s="72"/>
      <c r="N1" s="72"/>
      <c r="O1" s="72"/>
      <c r="P1" s="72"/>
      <c r="Q1" s="72"/>
      <c r="R1" s="72"/>
      <c r="S1" s="72"/>
      <c r="T1" s="72"/>
      <c r="U1" s="72"/>
      <c r="V1" s="72"/>
      <c r="W1" s="72"/>
      <c r="X1" s="72"/>
      <c r="Y1" s="72"/>
      <c r="Z1" s="72"/>
    </row>
    <row r="2" spans="1:26" ht="14.25" customHeight="1" x14ac:dyDescent="0.45">
      <c r="A2" s="505"/>
      <c r="B2" s="506"/>
      <c r="C2" s="506"/>
      <c r="D2" s="506"/>
      <c r="E2" s="506"/>
      <c r="F2" s="506"/>
      <c r="G2" s="72"/>
      <c r="H2" s="72"/>
      <c r="I2" s="72"/>
      <c r="J2" s="72"/>
      <c r="K2" s="72"/>
      <c r="L2" s="72"/>
      <c r="M2" s="72"/>
      <c r="N2" s="72"/>
      <c r="O2" s="72"/>
      <c r="P2" s="72"/>
      <c r="Q2" s="72"/>
      <c r="R2" s="72"/>
      <c r="S2" s="72"/>
      <c r="T2" s="72"/>
      <c r="U2" s="72"/>
      <c r="V2" s="72"/>
      <c r="W2" s="72"/>
      <c r="X2" s="72"/>
      <c r="Y2" s="72"/>
      <c r="Z2" s="72"/>
    </row>
    <row r="3" spans="1:26" ht="14.25" customHeight="1" x14ac:dyDescent="0.5">
      <c r="A3" s="507" t="s">
        <v>391</v>
      </c>
      <c r="B3" s="508"/>
      <c r="C3" s="508"/>
      <c r="D3" s="508"/>
      <c r="E3" s="508"/>
      <c r="F3" s="508"/>
      <c r="G3" s="72"/>
      <c r="H3" s="72"/>
      <c r="I3" s="72"/>
      <c r="J3" s="72"/>
      <c r="K3" s="72"/>
      <c r="L3" s="72"/>
      <c r="M3" s="72"/>
      <c r="N3" s="72"/>
      <c r="O3" s="72"/>
      <c r="P3" s="72"/>
      <c r="Q3" s="72"/>
      <c r="R3" s="72"/>
      <c r="S3" s="72"/>
      <c r="T3" s="72"/>
      <c r="U3" s="72"/>
      <c r="V3" s="72"/>
      <c r="W3" s="72"/>
      <c r="X3" s="72"/>
      <c r="Y3" s="72"/>
      <c r="Z3" s="72"/>
    </row>
    <row r="4" spans="1:26" ht="14.25" customHeight="1" x14ac:dyDescent="0.45">
      <c r="A4" s="75" t="s">
        <v>392</v>
      </c>
      <c r="B4" s="76" t="str">
        <f>'Analisi preliminareTOTALI'!A8</f>
        <v>Cliente caso 04</v>
      </c>
      <c r="C4" s="337"/>
      <c r="D4" s="77" t="str">
        <f t="array" ref="D4:E4">'Analisi preliminareTOTALI'!A10:B10</f>
        <v>Reggio Emilia (RE)</v>
      </c>
      <c r="E4" s="78">
        <v>0</v>
      </c>
      <c r="F4" s="338"/>
      <c r="G4" s="72"/>
      <c r="H4" s="72"/>
      <c r="I4" s="72"/>
      <c r="J4" s="72"/>
      <c r="K4" s="72"/>
      <c r="L4" s="72"/>
      <c r="M4" s="72"/>
      <c r="N4" s="72"/>
      <c r="O4" s="72"/>
      <c r="P4" s="72"/>
      <c r="Q4" s="72"/>
      <c r="R4" s="72"/>
      <c r="S4" s="72"/>
      <c r="T4" s="72"/>
      <c r="U4" s="72"/>
      <c r="V4" s="72"/>
      <c r="W4" s="72"/>
      <c r="X4" s="72"/>
      <c r="Y4" s="72"/>
      <c r="Z4" s="72"/>
    </row>
    <row r="5" spans="1:26" ht="14.25" customHeight="1" x14ac:dyDescent="0.45">
      <c r="A5" s="79" t="s">
        <v>393</v>
      </c>
      <c r="B5" s="339" t="str">
        <f t="array" ref="B5:C5">'Analisi preliminareTOTALI'!A9:B9</f>
        <v>Indirizzo</v>
      </c>
      <c r="C5" s="339">
        <v>0</v>
      </c>
      <c r="D5" s="80">
        <f t="array" ref="D5:E5">'Analisi preliminareTOTALI'!A12:B12</f>
        <v>0</v>
      </c>
      <c r="E5" s="80">
        <v>0</v>
      </c>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509" t="s">
        <v>394</v>
      </c>
      <c r="G6" s="72"/>
      <c r="H6" s="72"/>
      <c r="I6" s="72"/>
      <c r="J6" s="72"/>
      <c r="K6" s="72"/>
      <c r="L6" s="72"/>
      <c r="M6" s="72"/>
      <c r="N6" s="72"/>
      <c r="O6" s="72"/>
      <c r="P6" s="72"/>
      <c r="Q6" s="72"/>
      <c r="R6" s="72"/>
      <c r="S6" s="72"/>
      <c r="T6" s="72"/>
      <c r="U6" s="72"/>
      <c r="V6" s="72"/>
      <c r="W6" s="72"/>
      <c r="X6" s="72"/>
      <c r="Y6" s="72"/>
      <c r="Z6" s="72"/>
    </row>
    <row r="7" spans="1:26" ht="14.25" customHeight="1" x14ac:dyDescent="0.45">
      <c r="A7" s="82" t="s">
        <v>395</v>
      </c>
      <c r="B7" s="83">
        <v>0</v>
      </c>
      <c r="C7" s="82"/>
      <c r="D7" s="82" t="s">
        <v>396</v>
      </c>
      <c r="E7" s="82" t="s">
        <v>397</v>
      </c>
      <c r="F7" s="510"/>
      <c r="G7" s="72"/>
      <c r="H7" s="72"/>
      <c r="I7" s="72"/>
      <c r="J7" s="72"/>
      <c r="K7" s="72"/>
      <c r="L7" s="72"/>
      <c r="M7" s="72"/>
      <c r="N7" s="72"/>
      <c r="O7" s="72"/>
      <c r="P7" s="72"/>
      <c r="Q7" s="72"/>
      <c r="R7" s="72"/>
      <c r="S7" s="72"/>
      <c r="T7" s="72"/>
      <c r="U7" s="72"/>
      <c r="V7" s="72"/>
      <c r="W7" s="72"/>
      <c r="X7" s="72"/>
      <c r="Y7" s="72"/>
      <c r="Z7" s="72"/>
    </row>
    <row r="8" spans="1:26" ht="14.25" customHeight="1" x14ac:dyDescent="0.45">
      <c r="A8" s="84" t="s">
        <v>398</v>
      </c>
      <c r="B8" s="85">
        <f>(B7/100)*30</f>
        <v>0</v>
      </c>
      <c r="C8" s="84"/>
      <c r="D8" s="86"/>
      <c r="E8" s="84"/>
      <c r="F8" s="510"/>
      <c r="G8" s="72"/>
      <c r="H8" s="72"/>
      <c r="I8" s="72"/>
      <c r="J8" s="72"/>
      <c r="K8" s="72"/>
      <c r="L8" s="72"/>
      <c r="M8" s="72"/>
      <c r="N8" s="72"/>
      <c r="O8" s="72"/>
      <c r="P8" s="72"/>
      <c r="Q8" s="72"/>
      <c r="R8" s="72"/>
      <c r="S8" s="72"/>
      <c r="T8" s="72"/>
      <c r="U8" s="72"/>
      <c r="V8" s="72"/>
      <c r="W8" s="72"/>
      <c r="X8" s="72"/>
      <c r="Y8" s="72"/>
      <c r="Z8" s="72"/>
    </row>
    <row r="9" spans="1:26" ht="14.25" customHeight="1" x14ac:dyDescent="0.45">
      <c r="A9" s="84" t="s">
        <v>399</v>
      </c>
      <c r="B9" s="85">
        <f>(B7/100)*20</f>
        <v>0</v>
      </c>
      <c r="C9" s="84"/>
      <c r="D9" s="86"/>
      <c r="E9" s="84"/>
      <c r="F9" s="510"/>
      <c r="G9" s="72"/>
      <c r="H9" s="72"/>
      <c r="I9" s="72"/>
      <c r="J9" s="72"/>
      <c r="K9" s="72"/>
      <c r="L9" s="72"/>
      <c r="M9" s="72"/>
      <c r="N9" s="72"/>
      <c r="O9" s="72"/>
      <c r="P9" s="72"/>
      <c r="Q9" s="72"/>
      <c r="R9" s="72"/>
      <c r="S9" s="72"/>
      <c r="T9" s="72"/>
      <c r="U9" s="72"/>
      <c r="V9" s="72"/>
      <c r="W9" s="72"/>
      <c r="X9" s="72"/>
      <c r="Y9" s="72"/>
      <c r="Z9" s="72"/>
    </row>
    <row r="10" spans="1:26" ht="14.25" customHeight="1" x14ac:dyDescent="0.45">
      <c r="A10" s="84" t="s">
        <v>400</v>
      </c>
      <c r="B10" s="85">
        <f>(B7/100)*40</f>
        <v>0</v>
      </c>
      <c r="C10" s="84"/>
      <c r="D10" s="84" t="s">
        <v>401</v>
      </c>
      <c r="E10" s="84"/>
      <c r="F10" s="510"/>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84" t="s">
        <v>402</v>
      </c>
      <c r="B11" s="85">
        <f>(B7/100)*10</f>
        <v>0</v>
      </c>
      <c r="C11" s="84"/>
      <c r="D11" s="84" t="s">
        <v>401</v>
      </c>
      <c r="E11" s="84"/>
      <c r="F11" s="510"/>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87"/>
      <c r="C12" s="72"/>
      <c r="D12" s="72"/>
      <c r="E12" s="72"/>
      <c r="F12" s="510"/>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82" t="s">
        <v>403</v>
      </c>
      <c r="B13" s="82" t="s">
        <v>404</v>
      </c>
      <c r="C13" s="82"/>
      <c r="D13" s="82" t="s">
        <v>396</v>
      </c>
      <c r="E13" s="82" t="s">
        <v>397</v>
      </c>
      <c r="F13" s="510"/>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84" t="s">
        <v>405</v>
      </c>
      <c r="B14" s="85"/>
      <c r="C14" s="88" t="s">
        <v>401</v>
      </c>
      <c r="D14" s="86"/>
      <c r="E14" s="84"/>
      <c r="F14" s="510"/>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84" t="s">
        <v>406</v>
      </c>
      <c r="B15" s="85"/>
      <c r="C15" s="88" t="s">
        <v>401</v>
      </c>
      <c r="D15" s="86"/>
      <c r="E15" s="84"/>
      <c r="F15" s="510"/>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84" t="s">
        <v>407</v>
      </c>
      <c r="B16" s="89">
        <v>0</v>
      </c>
      <c r="C16" s="84"/>
      <c r="D16" s="84"/>
      <c r="E16" s="84"/>
      <c r="F16" s="510"/>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84" t="s">
        <v>408</v>
      </c>
      <c r="B17" s="89">
        <v>0</v>
      </c>
      <c r="C17" s="84"/>
      <c r="D17" s="84"/>
      <c r="E17" s="84"/>
      <c r="F17" s="510"/>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409</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346" t="s">
        <v>410</v>
      </c>
      <c r="B21" s="347">
        <f>(B7/100)*5</f>
        <v>0</v>
      </c>
      <c r="C21" s="346"/>
      <c r="D21" s="97"/>
      <c r="E21" s="348" t="s">
        <v>14</v>
      </c>
      <c r="F21" s="511" t="s">
        <v>411</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82" t="s">
        <v>396</v>
      </c>
      <c r="D22" s="98" t="s">
        <v>412</v>
      </c>
      <c r="E22" s="72"/>
      <c r="F22" s="510"/>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t="s">
        <v>398</v>
      </c>
      <c r="B23" s="99">
        <f>(B21/100)*50</f>
        <v>0</v>
      </c>
      <c r="C23" s="100"/>
      <c r="D23" s="101"/>
      <c r="E23" s="72"/>
      <c r="F23" s="510"/>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402</v>
      </c>
      <c r="B24" s="87">
        <f>B21-B23-+((B14/100)*5)+((B15/100)*5)+((B16/100)*5)+((B17/100)*5)</f>
        <v>0</v>
      </c>
      <c r="C24" s="72"/>
      <c r="D24" s="101"/>
      <c r="E24" s="72"/>
      <c r="F24" s="510"/>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102"/>
      <c r="E25" s="72"/>
      <c r="F25" s="510"/>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413</v>
      </c>
      <c r="B26" s="340"/>
      <c r="C26" s="91"/>
      <c r="D26" s="341" t="s">
        <v>414</v>
      </c>
      <c r="E26" s="91"/>
      <c r="F26" s="510"/>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43"/>
      <c r="C27" s="93"/>
      <c r="D27" s="93">
        <v>0</v>
      </c>
      <c r="E27" s="93"/>
      <c r="F27" s="510"/>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45"/>
      <c r="C28" s="95"/>
      <c r="D28" s="95"/>
      <c r="E28" s="95"/>
      <c r="F28" s="510"/>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82" t="s">
        <v>410</v>
      </c>
      <c r="B29" s="83">
        <v>325</v>
      </c>
      <c r="C29" s="82"/>
      <c r="D29" s="101"/>
      <c r="E29" s="72" t="s">
        <v>14</v>
      </c>
      <c r="F29" s="510"/>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87"/>
      <c r="C30" s="82" t="s">
        <v>396</v>
      </c>
      <c r="D30" s="98" t="s">
        <v>412</v>
      </c>
      <c r="E30" s="72"/>
      <c r="F30" s="510"/>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t="s">
        <v>399</v>
      </c>
      <c r="B31" s="99">
        <f>(B29/100)*30</f>
        <v>97.5</v>
      </c>
      <c r="C31" s="100"/>
      <c r="D31" s="103"/>
      <c r="E31" s="72"/>
      <c r="F31" s="510"/>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t="s">
        <v>400</v>
      </c>
      <c r="B32" s="99">
        <f>(B29/100)*30</f>
        <v>97.5</v>
      </c>
      <c r="C32" s="100"/>
      <c r="D32" s="103"/>
      <c r="E32" s="72"/>
      <c r="F32" s="510"/>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t="s">
        <v>402</v>
      </c>
      <c r="B33" s="99">
        <f>(B29/100)*40</f>
        <v>130</v>
      </c>
      <c r="C33" s="72"/>
      <c r="D33" s="103"/>
      <c r="E33" s="72"/>
      <c r="F33" s="510"/>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82" t="s">
        <v>403</v>
      </c>
      <c r="B34" s="82" t="s">
        <v>404</v>
      </c>
      <c r="C34" s="82" t="s">
        <v>396</v>
      </c>
      <c r="D34" s="98" t="s">
        <v>412</v>
      </c>
      <c r="E34" s="82"/>
      <c r="F34" s="510"/>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84" t="s">
        <v>405</v>
      </c>
      <c r="B35" s="89"/>
      <c r="C35" s="88"/>
      <c r="D35" s="104"/>
      <c r="E35" s="84"/>
      <c r="F35" s="510"/>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84" t="s">
        <v>406</v>
      </c>
      <c r="B36" s="89"/>
      <c r="C36" s="88"/>
      <c r="D36" s="104"/>
      <c r="E36" s="84"/>
      <c r="F36" s="510"/>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102"/>
      <c r="E37" s="72"/>
      <c r="F37" s="510"/>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90" t="s">
        <v>415</v>
      </c>
      <c r="B38" s="340"/>
      <c r="C38" s="91"/>
      <c r="D38" s="91"/>
      <c r="E38" s="91"/>
      <c r="F38" s="510"/>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92"/>
      <c r="B39" s="343"/>
      <c r="C39" s="93"/>
      <c r="D39" s="93"/>
      <c r="E39" s="93"/>
      <c r="F39" s="510"/>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94"/>
      <c r="B40" s="345"/>
      <c r="C40" s="95"/>
      <c r="D40" s="95"/>
      <c r="E40" s="95"/>
      <c r="F40" s="510"/>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82" t="s">
        <v>410</v>
      </c>
      <c r="B41" s="83">
        <v>0</v>
      </c>
      <c r="C41" s="82"/>
      <c r="D41" s="101"/>
      <c r="E41" s="72" t="s">
        <v>14</v>
      </c>
      <c r="F41" s="510"/>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87"/>
      <c r="C42" s="82" t="s">
        <v>396</v>
      </c>
      <c r="D42" s="98" t="s">
        <v>412</v>
      </c>
      <c r="E42" s="72"/>
      <c r="F42" s="510"/>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t="s">
        <v>399</v>
      </c>
      <c r="B43" s="99">
        <f>(B41/100)*30</f>
        <v>0</v>
      </c>
      <c r="C43" s="100"/>
      <c r="D43" s="103"/>
      <c r="E43" s="72"/>
      <c r="F43" s="510"/>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400</v>
      </c>
      <c r="B44" s="99">
        <f>(B41/100)*30</f>
        <v>0</v>
      </c>
      <c r="C44" s="100"/>
      <c r="D44" s="103"/>
      <c r="E44" s="72"/>
      <c r="F44" s="510"/>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402</v>
      </c>
      <c r="B45" s="99">
        <f>(B41/100)*40</f>
        <v>0</v>
      </c>
      <c r="C45" s="72"/>
      <c r="D45" s="103"/>
      <c r="E45" s="72"/>
      <c r="F45" s="510"/>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82" t="s">
        <v>403</v>
      </c>
      <c r="B46" s="82" t="s">
        <v>404</v>
      </c>
      <c r="C46" s="82" t="s">
        <v>396</v>
      </c>
      <c r="D46" s="98" t="s">
        <v>412</v>
      </c>
      <c r="E46" s="82"/>
      <c r="F46" s="510"/>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84" t="s">
        <v>405</v>
      </c>
      <c r="B47" s="89"/>
      <c r="C47" s="88"/>
      <c r="D47" s="104"/>
      <c r="E47" s="84"/>
      <c r="F47" s="510"/>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84" t="s">
        <v>406</v>
      </c>
      <c r="B48" s="89"/>
      <c r="C48" s="88"/>
      <c r="D48" s="104"/>
      <c r="E48" s="84"/>
      <c r="F48" s="510"/>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102"/>
      <c r="E49" s="72"/>
      <c r="F49" s="510"/>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90" t="s">
        <v>416</v>
      </c>
      <c r="B50" s="340"/>
      <c r="C50" s="91"/>
      <c r="D50" s="341"/>
      <c r="E50" s="91"/>
      <c r="F50" s="510"/>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92"/>
      <c r="B51" s="343"/>
      <c r="C51" s="93"/>
      <c r="D51" s="93"/>
      <c r="E51" s="93"/>
      <c r="F51" s="510"/>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94"/>
      <c r="B52" s="345"/>
      <c r="C52" s="95"/>
      <c r="D52" s="95"/>
      <c r="E52" s="95"/>
      <c r="F52" s="510"/>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82" t="s">
        <v>410</v>
      </c>
      <c r="B53" s="83">
        <v>0</v>
      </c>
      <c r="C53" s="82"/>
      <c r="D53" s="101"/>
      <c r="E53" s="72" t="s">
        <v>14</v>
      </c>
      <c r="F53" s="510"/>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87"/>
      <c r="C54" s="82" t="s">
        <v>396</v>
      </c>
      <c r="D54" s="98" t="s">
        <v>412</v>
      </c>
      <c r="E54" s="72"/>
      <c r="F54" s="510"/>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t="s">
        <v>399</v>
      </c>
      <c r="B55" s="99">
        <f>(B53/100)*30</f>
        <v>0</v>
      </c>
      <c r="C55" s="100"/>
      <c r="D55" s="101"/>
      <c r="E55" s="72"/>
      <c r="F55" s="510"/>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t="s">
        <v>400</v>
      </c>
      <c r="B56" s="99">
        <f>(B53/100)*30</f>
        <v>0</v>
      </c>
      <c r="C56" s="100"/>
      <c r="D56" s="101"/>
      <c r="E56" s="72"/>
      <c r="F56" s="510"/>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t="s">
        <v>402</v>
      </c>
      <c r="B57" s="99">
        <f>(B53/100)*40</f>
        <v>0</v>
      </c>
      <c r="C57" s="72"/>
      <c r="D57" s="101"/>
      <c r="E57" s="72"/>
      <c r="F57" s="510"/>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82" t="s">
        <v>403</v>
      </c>
      <c r="B58" s="82" t="s">
        <v>404</v>
      </c>
      <c r="C58" s="82" t="s">
        <v>396</v>
      </c>
      <c r="D58" s="98" t="s">
        <v>412</v>
      </c>
      <c r="E58" s="82"/>
      <c r="F58" s="510"/>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84" t="s">
        <v>405</v>
      </c>
      <c r="B59" s="89"/>
      <c r="C59" s="88"/>
      <c r="D59" s="104"/>
      <c r="E59" s="84"/>
      <c r="F59" s="510"/>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84" t="s">
        <v>406</v>
      </c>
      <c r="B60" s="89"/>
      <c r="C60" s="88"/>
      <c r="D60" s="104"/>
      <c r="E60" s="84"/>
      <c r="F60" s="510"/>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101"/>
      <c r="E61" s="72"/>
      <c r="F61" s="510"/>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t="s">
        <v>417</v>
      </c>
      <c r="B64" s="349"/>
      <c r="C64" s="350" t="s">
        <v>418</v>
      </c>
      <c r="D64" s="350"/>
      <c r="E64" s="105"/>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351"/>
      <c r="C65" s="350" t="s">
        <v>419</v>
      </c>
      <c r="D65" s="350"/>
      <c r="E65" s="105"/>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352"/>
      <c r="C66" s="350" t="s">
        <v>420</v>
      </c>
      <c r="D66" s="350"/>
      <c r="E66" s="105"/>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353" t="e">
        <f>G74/B74</f>
        <v>#DIV/0!</v>
      </c>
      <c r="H67" s="72"/>
      <c r="I67" s="72"/>
      <c r="J67" s="72"/>
      <c r="K67" s="72"/>
      <c r="L67" s="72"/>
      <c r="M67" s="72"/>
      <c r="N67" s="72"/>
      <c r="O67" s="72"/>
      <c r="P67" s="72"/>
      <c r="Q67" s="72"/>
      <c r="R67" s="72"/>
      <c r="S67" s="72"/>
      <c r="T67" s="72"/>
      <c r="U67" s="72"/>
      <c r="V67" s="72"/>
      <c r="W67" s="72"/>
      <c r="X67" s="72"/>
      <c r="Y67" s="72"/>
      <c r="Z67" s="72"/>
    </row>
    <row r="68" spans="1:26" ht="14.25" customHeight="1" x14ac:dyDescent="0.45">
      <c r="A68" s="106" t="s">
        <v>421</v>
      </c>
      <c r="B68" s="354" t="s">
        <v>422</v>
      </c>
      <c r="C68" s="355" t="s">
        <v>411</v>
      </c>
      <c r="D68" s="355"/>
      <c r="E68" s="355"/>
      <c r="F68" s="355"/>
      <c r="G68" s="356" t="s">
        <v>423</v>
      </c>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t="s">
        <v>424</v>
      </c>
      <c r="D69" s="72" t="s">
        <v>425</v>
      </c>
      <c r="E69" s="72" t="s">
        <v>426</v>
      </c>
      <c r="F69" s="72" t="s">
        <v>427</v>
      </c>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t="s">
        <v>428</v>
      </c>
      <c r="B70" s="107">
        <f>B7</f>
        <v>0</v>
      </c>
      <c r="C70" s="108">
        <f>B21</f>
        <v>0</v>
      </c>
      <c r="D70" s="108">
        <f>B29</f>
        <v>325</v>
      </c>
      <c r="E70" s="108">
        <f>B41</f>
        <v>0</v>
      </c>
      <c r="F70" s="108">
        <f>B53</f>
        <v>0</v>
      </c>
      <c r="G70" s="109">
        <f t="shared" ref="G70:G72" si="0">B70-C70-D70-E70-F70</f>
        <v>-325</v>
      </c>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t="s">
        <v>429</v>
      </c>
      <c r="B71" s="107">
        <f t="shared" ref="B71:B72" si="1">B14</f>
        <v>0</v>
      </c>
      <c r="C71" s="108">
        <f t="shared" ref="C71:C72" si="2">(B71/100)*5</f>
        <v>0</v>
      </c>
      <c r="D71" s="108">
        <f t="shared" ref="D71:D72" si="3">B35</f>
        <v>0</v>
      </c>
      <c r="E71" s="108">
        <f t="shared" ref="E71:E72" si="4">B47</f>
        <v>0</v>
      </c>
      <c r="F71" s="108">
        <f t="shared" ref="F71:F72" si="5">B59</f>
        <v>0</v>
      </c>
      <c r="G71" s="109">
        <f t="shared" si="0"/>
        <v>0</v>
      </c>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t="s">
        <v>430</v>
      </c>
      <c r="B72" s="107">
        <f t="shared" si="1"/>
        <v>0</v>
      </c>
      <c r="C72" s="108">
        <f t="shared" si="2"/>
        <v>0</v>
      </c>
      <c r="D72" s="108">
        <f t="shared" si="3"/>
        <v>0</v>
      </c>
      <c r="E72" s="108">
        <f t="shared" si="4"/>
        <v>0</v>
      </c>
      <c r="F72" s="108">
        <f t="shared" si="5"/>
        <v>0</v>
      </c>
      <c r="G72" s="109">
        <f t="shared" si="0"/>
        <v>0</v>
      </c>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110">
        <f t="shared" ref="B74:G74" si="6">B70+B71+B72</f>
        <v>0</v>
      </c>
      <c r="C74" s="110">
        <f t="shared" si="6"/>
        <v>0</v>
      </c>
      <c r="D74" s="110">
        <f t="shared" si="6"/>
        <v>325</v>
      </c>
      <c r="E74" s="110">
        <f t="shared" si="6"/>
        <v>0</v>
      </c>
      <c r="F74" s="110">
        <f t="shared" si="6"/>
        <v>0</v>
      </c>
      <c r="G74" s="110">
        <f t="shared" si="6"/>
        <v>-325</v>
      </c>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61"/>
  </mergeCells>
  <hyperlinks>
    <hyperlink ref="D26" r:id="rId1"/>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140625" defaultRowHeight="15" customHeight="1" x14ac:dyDescent="0.45"/>
  <cols>
    <col min="1" max="1" width="15.140625" customWidth="1"/>
    <col min="2" max="2" width="7.640625" customWidth="1"/>
    <col min="3" max="3" width="6.640625" customWidth="1"/>
    <col min="4" max="4" width="7.140625" customWidth="1"/>
    <col min="5" max="5" width="10.640625" customWidth="1"/>
    <col min="6" max="6" width="6.140625" customWidth="1"/>
    <col min="7" max="26" width="7.140625" customWidth="1"/>
  </cols>
  <sheetData>
    <row r="1" spans="1:26" ht="14.25" customHeight="1" x14ac:dyDescent="0.45">
      <c r="A1" s="503" t="s">
        <v>390</v>
      </c>
      <c r="B1" s="504"/>
      <c r="C1" s="504"/>
      <c r="D1" s="504"/>
      <c r="E1" s="504"/>
      <c r="F1" s="504"/>
      <c r="G1" s="72"/>
      <c r="H1" s="72"/>
      <c r="I1" s="72"/>
      <c r="J1" s="72"/>
      <c r="K1" s="72"/>
      <c r="L1" s="72"/>
      <c r="M1" s="72"/>
      <c r="N1" s="72"/>
      <c r="O1" s="72"/>
      <c r="P1" s="72"/>
      <c r="Q1" s="72"/>
      <c r="R1" s="72"/>
      <c r="S1" s="72"/>
      <c r="T1" s="72"/>
      <c r="U1" s="72"/>
      <c r="V1" s="72"/>
      <c r="W1" s="72"/>
      <c r="X1" s="72"/>
      <c r="Y1" s="72"/>
      <c r="Z1" s="72"/>
    </row>
    <row r="2" spans="1:26" ht="14.25" customHeight="1" x14ac:dyDescent="0.45">
      <c r="A2" s="505"/>
      <c r="B2" s="506"/>
      <c r="C2" s="506"/>
      <c r="D2" s="506"/>
      <c r="E2" s="506"/>
      <c r="F2" s="506"/>
      <c r="G2" s="72"/>
      <c r="H2" s="72"/>
      <c r="I2" s="72"/>
      <c r="J2" s="72"/>
      <c r="K2" s="72"/>
      <c r="L2" s="72"/>
      <c r="M2" s="72"/>
      <c r="N2" s="72"/>
      <c r="O2" s="72"/>
      <c r="P2" s="72"/>
      <c r="Q2" s="72"/>
      <c r="R2" s="72"/>
      <c r="S2" s="72"/>
      <c r="T2" s="72"/>
      <c r="U2" s="72"/>
      <c r="V2" s="72"/>
      <c r="W2" s="72"/>
      <c r="X2" s="72"/>
      <c r="Y2" s="72"/>
      <c r="Z2" s="72"/>
    </row>
    <row r="3" spans="1:26" ht="14.25" customHeight="1" x14ac:dyDescent="0.5">
      <c r="A3" s="507" t="s">
        <v>431</v>
      </c>
      <c r="B3" s="508"/>
      <c r="C3" s="508"/>
      <c r="D3" s="508"/>
      <c r="E3" s="508"/>
      <c r="F3" s="508"/>
      <c r="G3" s="72"/>
      <c r="H3" s="72"/>
      <c r="I3" s="72"/>
      <c r="J3" s="72"/>
      <c r="K3" s="72"/>
      <c r="L3" s="72"/>
      <c r="M3" s="72"/>
      <c r="N3" s="72"/>
      <c r="O3" s="72"/>
      <c r="P3" s="72"/>
      <c r="Q3" s="72"/>
      <c r="R3" s="72"/>
      <c r="S3" s="72"/>
      <c r="T3" s="72"/>
      <c r="U3" s="72"/>
      <c r="V3" s="72"/>
      <c r="W3" s="72"/>
      <c r="X3" s="72"/>
      <c r="Y3" s="72"/>
      <c r="Z3" s="72"/>
    </row>
    <row r="4" spans="1:26" ht="14.25" customHeight="1" x14ac:dyDescent="0.45">
      <c r="A4" s="75" t="s">
        <v>392</v>
      </c>
      <c r="B4" s="76" t="str">
        <f>'scheda cantiere_EDILE'!B4</f>
        <v>Cliente caso 04</v>
      </c>
      <c r="C4" s="337"/>
      <c r="D4" s="77" t="str">
        <f>'scheda cantiere_EDILE'!D4</f>
        <v>Reggio Emilia (RE)</v>
      </c>
      <c r="E4" s="111"/>
      <c r="F4" s="338"/>
      <c r="G4" s="72"/>
      <c r="H4" s="72"/>
      <c r="I4" s="72"/>
      <c r="J4" s="72"/>
      <c r="K4" s="72"/>
      <c r="L4" s="72"/>
      <c r="M4" s="72"/>
      <c r="N4" s="72"/>
      <c r="O4" s="72"/>
      <c r="P4" s="72"/>
      <c r="Q4" s="72"/>
      <c r="R4" s="72"/>
      <c r="S4" s="72"/>
      <c r="T4" s="72"/>
      <c r="U4" s="72"/>
      <c r="V4" s="72"/>
      <c r="W4" s="72"/>
      <c r="X4" s="72"/>
      <c r="Y4" s="72"/>
      <c r="Z4" s="72"/>
    </row>
    <row r="5" spans="1:26" ht="14.25" customHeight="1" x14ac:dyDescent="0.45">
      <c r="A5" s="79" t="s">
        <v>393</v>
      </c>
      <c r="B5" s="339" t="str">
        <f>'scheda cantiere_EDILE'!B5</f>
        <v>Indirizzo</v>
      </c>
      <c r="C5" s="357"/>
      <c r="D5" s="80">
        <f>'scheda cantiere_EDILE'!D5</f>
        <v>0</v>
      </c>
      <c r="E5" s="112"/>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512" t="s">
        <v>394</v>
      </c>
      <c r="G6" s="72"/>
      <c r="H6" s="72"/>
      <c r="I6" s="72"/>
      <c r="J6" s="72"/>
      <c r="K6" s="72"/>
      <c r="L6" s="72"/>
      <c r="M6" s="72"/>
      <c r="N6" s="72"/>
      <c r="O6" s="72"/>
      <c r="P6" s="72"/>
      <c r="Q6" s="72"/>
      <c r="R6" s="72"/>
      <c r="S6" s="72"/>
      <c r="T6" s="72"/>
      <c r="U6" s="72"/>
      <c r="V6" s="72"/>
      <c r="W6" s="72"/>
      <c r="X6" s="72"/>
      <c r="Y6" s="72"/>
      <c r="Z6" s="72"/>
    </row>
    <row r="7" spans="1:26" ht="14.25" customHeight="1" x14ac:dyDescent="0.45">
      <c r="A7" s="72" t="s">
        <v>395</v>
      </c>
      <c r="B7" s="87">
        <v>0</v>
      </c>
      <c r="C7" s="72"/>
      <c r="D7" s="72" t="s">
        <v>396</v>
      </c>
      <c r="E7" s="113" t="s">
        <v>412</v>
      </c>
      <c r="F7" s="510"/>
      <c r="G7" s="72"/>
      <c r="H7" s="72"/>
      <c r="I7" s="72"/>
      <c r="J7" s="72"/>
      <c r="K7" s="72"/>
      <c r="L7" s="72"/>
      <c r="M7" s="72"/>
      <c r="N7" s="72"/>
      <c r="O7" s="72"/>
      <c r="P7" s="72"/>
      <c r="Q7" s="72"/>
      <c r="R7" s="72"/>
      <c r="S7" s="72"/>
      <c r="T7" s="72"/>
      <c r="U7" s="72"/>
      <c r="V7" s="72"/>
      <c r="W7" s="72"/>
      <c r="X7" s="72"/>
      <c r="Y7" s="72"/>
      <c r="Z7" s="72"/>
    </row>
    <row r="8" spans="1:26" ht="14.25" customHeight="1" x14ac:dyDescent="0.45">
      <c r="A8" s="72"/>
      <c r="B8" s="87"/>
      <c r="C8" s="72"/>
      <c r="D8" s="72"/>
      <c r="E8" s="72"/>
      <c r="F8" s="510"/>
      <c r="G8" s="72"/>
      <c r="H8" s="72"/>
      <c r="I8" s="72"/>
      <c r="J8" s="72"/>
      <c r="K8" s="72"/>
      <c r="L8" s="72"/>
      <c r="M8" s="72"/>
      <c r="N8" s="72"/>
      <c r="O8" s="72"/>
      <c r="P8" s="72"/>
      <c r="Q8" s="72"/>
      <c r="R8" s="72"/>
      <c r="S8" s="72"/>
      <c r="T8" s="72"/>
      <c r="U8" s="72"/>
      <c r="V8" s="72"/>
      <c r="W8" s="72"/>
      <c r="X8" s="72"/>
      <c r="Y8" s="72"/>
      <c r="Z8" s="72"/>
    </row>
    <row r="9" spans="1:26" ht="14.25" customHeight="1" x14ac:dyDescent="0.45">
      <c r="A9" s="72" t="s">
        <v>402</v>
      </c>
      <c r="B9" s="114">
        <f>B7/2</f>
        <v>0</v>
      </c>
      <c r="C9" s="72"/>
      <c r="D9" s="100"/>
      <c r="E9" s="72"/>
      <c r="F9" s="510"/>
      <c r="G9" s="72"/>
      <c r="H9" s="72"/>
      <c r="I9" s="72"/>
      <c r="J9" s="72"/>
      <c r="K9" s="72"/>
      <c r="L9" s="72"/>
      <c r="M9" s="72"/>
      <c r="N9" s="72"/>
      <c r="O9" s="72"/>
      <c r="P9" s="72"/>
      <c r="Q9" s="72"/>
      <c r="R9" s="72"/>
      <c r="S9" s="72"/>
      <c r="T9" s="72"/>
      <c r="U9" s="72"/>
      <c r="V9" s="72"/>
      <c r="W9" s="72"/>
      <c r="X9" s="72"/>
      <c r="Y9" s="72"/>
      <c r="Z9" s="72"/>
    </row>
    <row r="10" spans="1:26" ht="14.25" customHeight="1" x14ac:dyDescent="0.45">
      <c r="A10" s="72" t="s">
        <v>401</v>
      </c>
      <c r="B10" s="87">
        <f>B7/2</f>
        <v>0</v>
      </c>
      <c r="C10" s="72"/>
      <c r="D10" s="100"/>
      <c r="E10" s="72"/>
      <c r="F10" s="510"/>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72"/>
      <c r="B11" s="87"/>
      <c r="C11" s="72"/>
      <c r="D11" s="72"/>
      <c r="E11" s="72"/>
      <c r="F11" s="510"/>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t="s">
        <v>403</v>
      </c>
      <c r="B12" s="72" t="s">
        <v>404</v>
      </c>
      <c r="C12" s="72"/>
      <c r="D12" s="72"/>
      <c r="E12" s="72"/>
      <c r="F12" s="510"/>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t="s">
        <v>405</v>
      </c>
      <c r="B13" s="87">
        <v>0</v>
      </c>
      <c r="C13" s="72"/>
      <c r="D13" s="72"/>
      <c r="E13" s="72"/>
      <c r="F13" s="510"/>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t="s">
        <v>406</v>
      </c>
      <c r="B14" s="87">
        <v>0</v>
      </c>
      <c r="C14" s="72"/>
      <c r="D14" s="72"/>
      <c r="E14" s="72"/>
      <c r="F14" s="510"/>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t="s">
        <v>407</v>
      </c>
      <c r="B15" s="87">
        <v>0</v>
      </c>
      <c r="C15" s="72"/>
      <c r="D15" s="72"/>
      <c r="E15" s="72"/>
      <c r="F15" s="510"/>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t="s">
        <v>408</v>
      </c>
      <c r="B16" s="87">
        <v>0</v>
      </c>
      <c r="C16" s="72"/>
      <c r="D16" s="72"/>
      <c r="E16" s="72"/>
      <c r="F16" s="510"/>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87"/>
      <c r="C17" s="72"/>
      <c r="D17" s="72"/>
      <c r="E17" s="72"/>
      <c r="F17" s="513"/>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409</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82"/>
      <c r="B21" s="72"/>
      <c r="C21" s="72"/>
      <c r="D21" s="72"/>
      <c r="E21" s="72"/>
      <c r="F21" s="511" t="s">
        <v>411</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t="s">
        <v>410</v>
      </c>
      <c r="B22" s="87">
        <f>(B7/100)*5</f>
        <v>0</v>
      </c>
      <c r="C22" s="72"/>
      <c r="D22" s="72"/>
      <c r="E22" s="72"/>
      <c r="F22" s="510"/>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t="s">
        <v>396</v>
      </c>
      <c r="D23" s="115" t="s">
        <v>412</v>
      </c>
      <c r="E23" s="72"/>
      <c r="F23" s="510"/>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402</v>
      </c>
      <c r="B24" s="87"/>
      <c r="C24" s="72"/>
      <c r="D24" s="72"/>
      <c r="E24" s="72"/>
      <c r="F24" s="510"/>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510"/>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432</v>
      </c>
      <c r="B26" s="340"/>
      <c r="C26" s="91"/>
      <c r="D26" s="341"/>
      <c r="E26" s="91"/>
      <c r="F26" s="510"/>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43"/>
      <c r="C27" s="93"/>
      <c r="D27" s="93"/>
      <c r="E27" s="93"/>
      <c r="F27" s="510"/>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45"/>
      <c r="C28" s="95"/>
      <c r="D28" s="95"/>
      <c r="E28" s="95"/>
      <c r="F28" s="510"/>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348"/>
      <c r="B29" s="348"/>
      <c r="C29" s="348"/>
      <c r="D29" s="348"/>
      <c r="E29" s="116"/>
      <c r="F29" s="510"/>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t="s">
        <v>410</v>
      </c>
      <c r="B30" s="87">
        <v>0</v>
      </c>
      <c r="C30" s="72"/>
      <c r="D30" s="72"/>
      <c r="E30" s="117"/>
      <c r="F30" s="510"/>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87"/>
      <c r="C31" s="72" t="s">
        <v>433</v>
      </c>
      <c r="D31" s="72"/>
      <c r="E31" s="117"/>
      <c r="F31" s="510"/>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99">
        <v>0</v>
      </c>
      <c r="C32" s="100"/>
      <c r="D32" s="72"/>
      <c r="E32" s="117"/>
      <c r="F32" s="510"/>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118">
        <v>0</v>
      </c>
      <c r="C33" s="100"/>
      <c r="D33" s="72"/>
      <c r="E33" s="117"/>
      <c r="F33" s="510"/>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118">
        <v>0</v>
      </c>
      <c r="C34" s="100"/>
      <c r="D34" s="72"/>
      <c r="E34" s="117"/>
      <c r="F34" s="510"/>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358"/>
      <c r="B35" s="358"/>
      <c r="C35" s="358"/>
      <c r="D35" s="358"/>
      <c r="E35" s="119"/>
      <c r="F35" s="513"/>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t="s">
        <v>417</v>
      </c>
      <c r="B38" s="349"/>
      <c r="C38" s="350" t="s">
        <v>434</v>
      </c>
      <c r="D38" s="350"/>
      <c r="E38" s="105"/>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351"/>
      <c r="C39" s="350" t="s">
        <v>419</v>
      </c>
      <c r="D39" s="350"/>
      <c r="E39" s="105"/>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352"/>
      <c r="C40" s="350" t="s">
        <v>420</v>
      </c>
      <c r="D40" s="350"/>
      <c r="E40" s="105"/>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120" t="e">
        <f>G48/B48</f>
        <v>#DIV/0!</v>
      </c>
      <c r="H41" s="72"/>
      <c r="I41" s="72"/>
      <c r="J41" s="72"/>
      <c r="K41" s="72"/>
      <c r="L41" s="72"/>
      <c r="M41" s="72"/>
      <c r="N41" s="72"/>
      <c r="O41" s="72"/>
      <c r="P41" s="72"/>
      <c r="Q41" s="72"/>
      <c r="R41" s="72"/>
      <c r="S41" s="72"/>
      <c r="T41" s="72"/>
      <c r="U41" s="72"/>
      <c r="V41" s="72"/>
      <c r="W41" s="72"/>
      <c r="X41" s="72"/>
      <c r="Y41" s="72"/>
      <c r="Z41" s="72"/>
    </row>
    <row r="42" spans="1:26" ht="14.25" customHeight="1" x14ac:dyDescent="0.45">
      <c r="A42" s="106" t="s">
        <v>421</v>
      </c>
      <c r="B42" s="354" t="s">
        <v>422</v>
      </c>
      <c r="C42" s="355" t="s">
        <v>411</v>
      </c>
      <c r="D42" s="355"/>
      <c r="E42" s="355"/>
      <c r="F42" s="355"/>
      <c r="G42" s="359" t="s">
        <v>423</v>
      </c>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t="s">
        <v>424</v>
      </c>
      <c r="D43" s="72" t="s">
        <v>435</v>
      </c>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428</v>
      </c>
      <c r="B44" s="107">
        <f>B7</f>
        <v>0</v>
      </c>
      <c r="C44" s="108">
        <f>B22</f>
        <v>0</v>
      </c>
      <c r="D44" s="108">
        <f>B30</f>
        <v>0</v>
      </c>
      <c r="E44" s="108"/>
      <c r="F44" s="108"/>
      <c r="G44" s="109">
        <f t="shared" ref="G44:G46" si="0">B44-C44-D44-E44-F44</f>
        <v>0</v>
      </c>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429</v>
      </c>
      <c r="B45" s="107">
        <f t="shared" ref="B45:B46" si="1">B13</f>
        <v>0</v>
      </c>
      <c r="C45" s="108">
        <f t="shared" ref="C45:C46" si="2">(B45/100)*5</f>
        <v>0</v>
      </c>
      <c r="D45" s="108">
        <v>0</v>
      </c>
      <c r="E45" s="108"/>
      <c r="F45" s="108"/>
      <c r="G45" s="109">
        <f t="shared" si="0"/>
        <v>0</v>
      </c>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t="s">
        <v>430</v>
      </c>
      <c r="B46" s="107">
        <f t="shared" si="1"/>
        <v>0</v>
      </c>
      <c r="C46" s="108">
        <f t="shared" si="2"/>
        <v>0</v>
      </c>
      <c r="D46" s="108">
        <v>0</v>
      </c>
      <c r="E46" s="108"/>
      <c r="F46" s="108"/>
      <c r="G46" s="109">
        <f t="shared" si="0"/>
        <v>0</v>
      </c>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110">
        <f t="shared" ref="B48:D48" si="3">B44+B45+B46</f>
        <v>0</v>
      </c>
      <c r="C48" s="110">
        <f t="shared" si="3"/>
        <v>0</v>
      </c>
      <c r="D48" s="110">
        <f t="shared" si="3"/>
        <v>0</v>
      </c>
      <c r="E48" s="110"/>
      <c r="F48" s="110"/>
      <c r="G48" s="110">
        <f>G44+G45+G46</f>
        <v>0</v>
      </c>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3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Analisi preliminareTOTALI</vt:lpstr>
      <vt:lpstr>A-EDILE</vt:lpstr>
      <vt:lpstr>B-FINITURE</vt:lpstr>
      <vt:lpstr>C- SERRAMENTI PORTE  </vt:lpstr>
      <vt:lpstr>D- PRODOTTI</vt:lpstr>
      <vt:lpstr>listini</vt:lpstr>
      <vt:lpstr>Importi</vt:lpstr>
      <vt:lpstr>scheda cantiere_EDILE</vt:lpstr>
      <vt:lpstr>scheda cantiere_FINITURE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demo</dc:creator>
  <cp:keywords/>
  <dc:description/>
  <cp:lastModifiedBy/>
  <cp:revision/>
  <dcterms:created xsi:type="dcterms:W3CDTF">2020-09-04T07:59:23Z</dcterms:created>
  <dcterms:modified xsi:type="dcterms:W3CDTF">2026-10-30T14:11:55Z</dcterms:modified>
  <cp:category/>
  <cp:contentStatus/>
</cp:coreProperties>
</file>